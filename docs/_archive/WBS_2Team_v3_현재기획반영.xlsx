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63dff482e748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 8주 계획" sheetId="1" r:id="Rf1d36d5fa0cb4cb0"/>
  </x:sheets>
</x:workbook>
</file>

<file path=xl/sharedStrings.xml><?xml version="1.0" encoding="utf-8"?>
<x:sst xmlns:x="http://schemas.openxmlformats.org/spreadsheetml/2006/main">
  <x:si>
    <x:t xml:space="preserve">WBS</x:t>
  </x:si>
  <x:si>
    <x:t xml:space="preserve">Smartsheet 
도움말 ➜</x:t>
  </x:si>
  <x:si>
    <x:t xml:space="preserve">프로젝트 이름</x:t>
  </x:si>
  <x:si>
    <x:t xml:space="preserve">회사명</x:t>
  </x:si>
  <x:si>
    <x:t xml:space="preserve">프로젝트 관리자</x:t>
  </x:si>
  <x:si>
    <x:t xml:space="preserve">날짜</x:t>
  </x:si>
  <x:si>
    <x:t xml:space="preserve">WBS 번호</x:t>
  </x:si>
  <x:si>
    <x:t xml:space="preserve">작업 제목</x:t>
  </x:si>
  <x:si>
    <x:t xml:space="preserve">작업 소유자</x:t>
  </x:si>
  <x:si>
    <x:t xml:space="preserve">시작일</x:t>
  </x:si>
  <x:si>
    <x:t xml:space="preserve">마감일</x:t>
  </x:si>
  <x:si>
    <x:t xml:space="preserve">기간</x:t>
  </x:si>
  <x:si>
    <x:t xml:space="preserve">작업 완료 비율</x:t>
  </x:si>
</x:sst>
</file>

<file path=xl/styles.xml><?xml version="1.0" encoding="utf-8"?>
<x:styleSheet xmlns:x="http://schemas.openxmlformats.org/spreadsheetml/2006/main">
  <x:numFmts count="6">
    <x:numFmt numFmtId="164" formatCode="yy&quot;년 &quot;m&quot;월 &quot;d&quot;일&quot;"/>
    <x:numFmt numFmtId="165" formatCode="&quot;$&quot;#,##0.00"/>
    <x:numFmt numFmtId="200" formatCode="yyyy-mm-dd"/>
    <x:numFmt numFmtId="201" formatCode=";;;"/>
    <x:numFmt numFmtId="202" formatCode="0&quot;일&quot;"/>
    <x:numFmt numFmtId="203" formatCode="0%"/>
  </x:numFmts>
  <x:fonts count="37">
    <x:font>
      <x:sz val="10"/>
      <x:color rgb="FF000000"/>
      <x:name val="Arial"/>
    </x:font>
    <x:font>
      <x:sz val="11"/>
      <x:color theme="1"/>
      <x:name val="Poppins"/>
    </x:font>
    <x:font>
      <x:b/>
      <x:sz val="30"/>
      <x:color rgb="FF0B5394"/>
      <x:name val="Poppins"/>
    </x:font>
    <x:font>
      <x:b/>
      <x:sz val="11"/>
      <x:color rgb="FF0B5394"/>
      <x:name val="Poppins"/>
    </x:font>
    <x:font>
      <x:color theme="1"/>
      <x:name val="Poppins"/>
    </x:font>
    <x:font>
      <x:sz val="11"/>
      <x:color rgb="FF000000"/>
      <x:name val="Poppins"/>
    </x:font>
    <x:font>
      <x:sz val="11"/>
      <x:color rgb="FFFFFFFF"/>
      <x:name val="Poppins"/>
    </x:font>
    <x:font>
      <x:b/>
      <x:sz val="30"/>
      <x:color rgb="FF0B5394"/>
      <x:name val="Roboto"/>
    </x:font>
    <x:font/>
    <x:font>
      <x:b/>
      <x:sz val="32"/>
      <x:color rgb="FF0B5394"/>
      <x:name val="Roboto"/>
    </x:font>
    <x:font>
      <x:b/>
      <x:sz val="12"/>
      <x:color rgb="FF0B5394"/>
      <x:name val="Roboto"/>
    </x:font>
    <x:font>
      <x:sz val="12"/>
      <x:color rgb="FF0B5394"/>
      <x:name val="Roboto"/>
    </x:font>
    <x:font>
      <x:sz val="12"/>
      <x:color rgb="FF000000"/>
      <x:name val="Poppins"/>
    </x:font>
    <x:font>
      <x:b/>
      <x:sz val="11"/>
      <x:color rgb="FF434343"/>
      <x:name val="Poppins"/>
    </x:font>
    <x:font>
      <x:sz val="11"/>
      <x:color rgb="FF434343"/>
      <x:name val="Poppins"/>
    </x:font>
    <x:font>
      <x:sz val="11"/>
      <x:color rgb="FF000000"/>
      <x:name val="Century Gothic"/>
    </x:font>
    <x:font>
      <x:sz val="11"/>
      <x:color theme="1"/>
      <x:name val="Century Gothic"/>
    </x:font>
    <x:font>
      <x:b/>
      <x:sz val="10"/>
      <x:color rgb="FF666666"/>
      <x:name val="Roboto"/>
    </x:font>
    <x:font>
      <x:sz val="10"/>
      <x:color rgb="FF999999"/>
      <x:name val="Roboto"/>
    </x:font>
    <x:font>
      <x:sz val="11"/>
      <x:color theme="1"/>
      <x:name val="Roboto"/>
    </x:font>
    <x:font>
      <x:sz val="11"/>
      <x:color rgb="FF000000"/>
      <x:name val="Roboto"/>
    </x:font>
    <x:font>
      <x:b/>
      <x:sz val="8"/>
      <x:color rgb="FF000000"/>
      <x:name val="Roboto"/>
    </x:font>
    <x:font>
      <x:b/>
      <x:sz val="9"/>
      <x:color rgb="FFFFFFFF"/>
      <x:name val="Roboto"/>
    </x:font>
    <x:font>
      <x:b/>
      <x:sz val="8"/>
      <x:color theme="1"/>
      <x:name val="Roboto"/>
    </x:font>
    <x:font>
      <x:sz val="9"/>
      <x:color theme="1"/>
      <x:name val="Roboto"/>
    </x:font>
    <x:font>
      <x:b/>
      <x:sz val="9"/>
      <x:color rgb="FF000000"/>
      <x:name val="Roboto"/>
    </x:font>
    <x:font>
      <x:b/>
      <x:sz val="11"/>
      <x:color rgb="FF000000"/>
      <x:name val="Roboto"/>
    </x:font>
    <x:font>
      <x:sz val="10"/>
      <x:color theme="1"/>
      <x:name val="Roboto"/>
    </x:font>
    <x:font>
      <x:sz val="10"/>
      <x:color rgb="FF434343"/>
      <x:name val="Roboto"/>
    </x:font>
    <x:font>
      <x:b/>
      <x:sz val="10"/>
      <x:color rgb="FF000000"/>
      <x:name val="Roboto"/>
    </x:font>
    <x:font>
      <x:color theme="1"/>
      <x:name val="Arial"/>
    </x:font>
    <x:font>
      <x:b/>
      <x:sz val="10"/>
      <x:color rgb="FFFFFFFF"/>
      <x:name val="Arial"/>
    </x:font>
    <x:font>
      <x:b/>
      <x:color rgb="FFFFFFFF"/>
    </x:font>
    <x:font>
      <x:b/>
      <x:sz val="11"/>
      <x:color rgb="FF595959"/>
      <x:name val="Roboto"/>
    </x:font>
    <x:font>
      <x:sz val="10"/>
      <x:color rgb="FF595959"/>
      <x:name val="Roboto"/>
    </x:font>
    <x:font>
      <x:b/>
      <x:sz val="11"/>
      <x:color rgb="FF1F1F1F"/>
      <x:name val="Roboto"/>
    </x:font>
    <x:font>
      <x:b/>
      <x:sz val="10"/>
      <x:color rgb="FF1F1F1F"/>
      <x:name val="Roboto"/>
    </x:font>
  </x:fonts>
  <x:fills count="35">
    <x:fill>
      <x:patternFill patternType="none"/>
    </x:fill>
    <x:fill>
      <x:patternFill patternType="lightGray"/>
    </x:fill>
    <x:fill>
      <x:patternFill patternType="solid">
        <x:fgColor rgb="FFFFFFFF"/>
      </x:patternFill>
    </x:fill>
    <x:fill>
      <x:patternFill patternType="solid">
        <x:fgColor rgb="FFEFEFEF"/>
      </x:patternFill>
    </x:fill>
    <x:fill>
      <x:patternFill patternType="solid">
        <x:fgColor rgb="FF0B5394"/>
      </x:patternFill>
    </x:fill>
    <x:fill>
      <x:patternFill patternType="solid">
        <x:fgColor rgb="FF45818E"/>
      </x:patternFill>
    </x:fill>
    <x:fill>
      <x:patternFill patternType="solid">
        <x:fgColor rgb="FF833C0C"/>
      </x:patternFill>
    </x:fill>
    <x:fill>
      <x:patternFill patternType="solid">
        <x:fgColor rgb="FF806000"/>
      </x:patternFill>
    </x:fill>
    <x:fill>
      <x:patternFill patternType="solid">
        <x:fgColor rgb="FF2F75B5"/>
      </x:patternFill>
    </x:fill>
    <x:fill>
      <x:patternFill patternType="solid">
        <x:fgColor rgb="FFA2C4C9"/>
      </x:patternFill>
    </x:fill>
    <x:fill>
      <x:patternFill patternType="solid">
        <x:fgColor rgb="FFC65911"/>
      </x:patternFill>
    </x:fill>
    <x:fill>
      <x:patternFill patternType="solid">
        <x:fgColor rgb="FFBF8F00"/>
      </x:patternFill>
    </x:fill>
    <x:fill>
      <x:patternFill patternType="solid">
        <x:fgColor rgb="FFBDD7EE"/>
      </x:patternFill>
    </x:fill>
    <x:fill>
      <x:patternFill patternType="solid">
        <x:fgColor rgb="FFD0E0E3"/>
      </x:patternFill>
    </x:fill>
    <x:fill>
      <x:patternFill patternType="solid">
        <x:fgColor rgb="FFF8CBAD"/>
      </x:patternFill>
    </x:fill>
    <x:fill>
      <x:patternFill patternType="solid">
        <x:fgColor rgb="FFFFE699"/>
      </x:patternFill>
    </x:fill>
    <x:fill>
      <x:patternFill patternType="solid">
        <x:fgColor rgb="FFCCCCCC"/>
      </x:patternFill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EDEDED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73C79E"/>
      </x:patternFill>
    </x:fill>
    <x:fill>
      <x:patternFill patternType="solid">
        <x:fgColor rgb="FF0B5394"/>
      </x:patternFill>
    </x:fill>
    <x:fill>
      <x:patternFill patternType="solid">
        <x:fgColor rgb="FF45818E"/>
      </x:patternFill>
    </x:fill>
    <x:fill>
      <x:patternFill patternType="solid">
        <x:fgColor rgb="FFB45F06"/>
      </x:patternFill>
    </x:fill>
    <x:fill>
      <x:patternFill patternType="solid">
        <x:fgColor rgb="FF7F6000"/>
      </x:patternFill>
    </x:fill>
    <x:fill>
      <x:patternFill patternType="solid">
        <x:fgColor rgb="FF666666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E8F3F5"/>
      </x:patternFill>
    </x:fill>
    <x:fill>
      <x:patternFill patternType="solid">
        <x:fgColor rgb="FFFCEFE3"/>
      </x:patternFill>
    </x:fill>
    <x:fill>
      <x:patternFill patternType="solid">
        <x:fgColor rgb="FFFFF4CC"/>
      </x:patternFill>
    </x:fill>
    <x:fill>
      <x:patternFill patternType="solid">
        <x:fgColor rgb="FFF2F2F2"/>
      </x:patternFill>
    </x:fill>
    <x:fill>
      <x:patternFill patternType="solid">
        <x:fgColor rgb="FFD9E2F3"/>
      </x:patternFill>
    </x:fill>
  </x:fills>
  <x:borders count="22">
    <x:border/>
    <x:border>
      <x:bottom style="thick">
        <x:color rgb="FF0B5394"/>
      </x:bottom>
    </x:border>
    <x:border>
      <x:bottom style="thin">
        <x:color rgb="FFD9D9D9"/>
      </x:bottom>
    </x:border>
    <x:border>
      <x:left style="thin">
        <x:color rgb="FFB7B7B7"/>
      </x:left>
    </x:border>
    <x:border>
      <x:right style="thin">
        <x:color rgb="FFCCCCCC"/>
      </x:right>
    </x:border>
    <x:border>
      <x:left style="thin">
        <x:color rgb="FFB7B7B7"/>
      </x:left>
      <x:top style="thin">
        <x:color rgb="FFB7B7B7"/>
      </x:top>
      <x:bottom style="thin">
        <x:color rgb="FFB7B7B7"/>
      </x:bottom>
    </x:border>
    <x:border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</x:border>
    <x:border>
      <x:bottom style="thin">
        <x:color rgb="FFCCCCCC"/>
      </x:bottom>
    </x:border>
    <x:border>
      <x:bottom style="thin">
        <x:color rgb="FFB7B7B7"/>
      </x:bottom>
    </x:border>
    <x:border>
      <x:left style="thin">
        <x:color rgb="FFB7B7B7"/>
      </x:left>
      <x:right style="hair">
        <x:color rgb="FFB7B7B7"/>
      </x:right>
      <x:bottom style="hair">
        <x:color rgb="FFB7B7B7"/>
      </x:bottom>
    </x:border>
    <x:border>
      <x:left style="hair">
        <x:color rgb="FFB7B7B7"/>
      </x:left>
      <x:right style="hair">
        <x:color rgb="FFB7B7B7"/>
      </x:right>
      <x:bottom style="hair">
        <x:color rgb="FFB7B7B7"/>
      </x:bottom>
    </x:border>
    <x:border>
      <x:left style="hair">
        <x:color rgb="FFB7B7B7"/>
      </x:left>
      <x:right style="thin">
        <x:color rgb="FFB7B7B7"/>
      </x:right>
      <x:bottom style="hair">
        <x:color rgb="FFB7B7B7"/>
      </x:bottom>
    </x:border>
    <x:border>
      <x:left style="thin">
        <x:color rgb="FFB7B7B7"/>
      </x:left>
      <x:right style="hair">
        <x:color rgb="FFB7B7B7"/>
      </x:right>
      <x:top style="hair">
        <x:color rgb="FFB7B7B7"/>
      </x:top>
      <x:bottom style="hair">
        <x:color rgb="FFB7B7B7"/>
      </x:bottom>
    </x:border>
    <x:border>
      <x:left style="hair">
        <x:color rgb="FFB7B7B7"/>
      </x:left>
      <x:right style="hair">
        <x:color rgb="FFB7B7B7"/>
      </x:right>
      <x:top style="hair">
        <x:color rgb="FFB7B7B7"/>
      </x:top>
      <x:bottom style="hair">
        <x:color rgb="FFB7B7B7"/>
      </x:bottom>
    </x:border>
    <x:border>
      <x:left style="hair">
        <x:color rgb="FFB7B7B7"/>
      </x:left>
      <x:right style="thin">
        <x:color rgb="FFB7B7B7"/>
      </x:right>
      <x:top style="hair">
        <x:color rgb="FFB7B7B7"/>
      </x:top>
      <x:bottom style="hair">
        <x:color rgb="FFB7B7B7"/>
      </x:bottom>
    </x:border>
    <x:border>
      <x:left style="thin">
        <x:color rgb="FFB7B7B7"/>
      </x:left>
      <x:right style="hair">
        <x:color rgb="FFB7B7B7"/>
      </x:right>
      <x:top style="hair">
        <x:color rgb="FFB7B7B7"/>
      </x:top>
    </x:border>
    <x:border>
      <x:left style="hair">
        <x:color rgb="FFB7B7B7"/>
      </x:left>
      <x:right style="hair">
        <x:color rgb="FFB7B7B7"/>
      </x:right>
      <x:top style="hair">
        <x:color rgb="FFB7B7B7"/>
      </x:top>
    </x:border>
    <x:border>
      <x:left style="hair">
        <x:color rgb="FFB7B7B7"/>
      </x:left>
      <x:right style="thin">
        <x:color rgb="FFB7B7B7"/>
      </x:right>
      <x:top style="hair">
        <x:color rgb="FFB7B7B7"/>
      </x:top>
    </x:border>
    <x:border>
      <x:right style="hair">
        <x:color rgb="FFB7B7B7"/>
      </x:right>
      <x:top style="hair">
        <x:color rgb="FFB7B7B7"/>
      </x:top>
      <x:bottom style="hair">
        <x:color rgb="FFB7B7B7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 applyFont="1" applyAlignment="1"/>
  </x:cellStyleXfs>
  <x:cellXfs count="289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vertical="center"/>
    </x:xf>
    <x:xf numFmtId="0" fontId="2" fillId="2" borderId="0" xfId="0" applyFont="1" applyFill="1" applyAlignment="1">
      <x:alignment vertical="center" wrapText="0"/>
    </x:xf>
    <x:xf numFmtId="0" fontId="3" fillId="2" borderId="0" xfId="0" applyFont="1" applyAlignment="1">
      <x:alignment vertical="center" wrapText="0"/>
    </x:xf>
    <x:xf numFmtId="0" fontId="4" fillId="0" borderId="0" xfId="0" applyFont="1" applyAlignment="1">
      <x:alignment vertical="center"/>
    </x:xf>
    <x:xf numFmtId="0" fontId="3" fillId="2" borderId="0" xfId="0" applyFont="1" applyAlignment="1">
      <x:alignment horizontal="center" vertical="center" wrapText="0"/>
    </x:xf>
    <x:xf numFmtId="0" fontId="5" fillId="2" borderId="0" xfId="0" applyFont="1" applyAlignment="1">
      <x:alignment horizontal="center" vertical="center" wrapText="0"/>
    </x:xf>
    <x:xf numFmtId="0" fontId="5" fillId="2" borderId="0" xfId="0" applyFont="1" applyAlignment="1">
      <x:alignment vertical="center" wrapText="0"/>
    </x:xf>
    <x:xf numFmtId="0" fontId="5" fillId="0" borderId="0" xfId="0" applyFont="1" applyAlignment="1">
      <x:alignment horizontal="left" vertical="center" wrapText="0"/>
    </x:xf>
    <x:xf numFmtId="0" fontId="6" fillId="0" borderId="0" xfId="0" applyFont="1" applyAlignment="1">
      <x:alignment vertical="center"/>
    </x:xf>
    <x:xf numFmtId="0" fontId="7" fillId="2" borderId="1" xfId="0" applyFont="1" applyBorder="1" applyAlignment="1">
      <x:alignment vertical="center" wrapText="0"/>
    </x:xf>
    <x:xf numFmtId="0" fontId="8" fillId="0" borderId="1" xfId="0" applyFont="1" applyBorder="1"/>
    <x:xf numFmtId="0" fontId="9" fillId="2" borderId="1" xfId="0" applyFont="1" applyBorder="1" applyAlignment="1">
      <x:alignment vertical="center" wrapText="0"/>
    </x:xf>
    <x:xf numFmtId="0" fontId="10" fillId="2" borderId="1" xfId="0" applyFont="1" applyBorder="1" applyAlignment="1">
      <x:alignment vertical="center" wrapText="1"/>
    </x:xf>
    <x:xf numFmtId="0" fontId="11" fillId="2" borderId="1" xfId="0" applyFont="1" applyBorder="1" applyAlignment="1">
      <x:alignment vertical="center" wrapText="1"/>
    </x:xf>
    <x:xf numFmtId="0" fontId="12" fillId="2" borderId="0" xfId="0" applyFont="1" applyAlignment="1">
      <x:alignment vertical="center" wrapText="0"/>
    </x:xf>
    <x:xf numFmtId="0" fontId="13" fillId="0" borderId="0" xfId="0" applyFont="1" applyAlignment="1">
      <x:alignment horizontal="left" vertical="center" wrapText="0"/>
    </x:xf>
    <x:xf numFmtId="0" fontId="14" fillId="2" borderId="0" xfId="0" applyFont="1" applyAlignment="1">
      <x:alignment vertical="center" wrapText="0"/>
    </x:xf>
    <x:xf numFmtId="0" fontId="15" fillId="2" borderId="0" xfId="0" applyFont="1" applyAlignment="1">
      <x:alignment vertical="center" wrapText="0"/>
    </x:xf>
    <x:xf numFmtId="0" fontId="16" fillId="0" borderId="0" xfId="0" applyFont="1" applyAlignment="1">
      <x:alignment vertical="center"/>
    </x:xf>
    <x:xf numFmtId="0" fontId="17" fillId="0" borderId="2" xfId="0" applyFont="1" applyBorder="1" applyAlignment="1">
      <x:alignment horizontal="left" vertical="center" wrapText="0"/>
    </x:xf>
    <x:xf numFmtId="0" fontId="8" fillId="0" borderId="2" xfId="0" applyFont="1" applyBorder="1"/>
    <x:xf numFmtId="0" fontId="18" fillId="2" borderId="2" xfId="0" applyFont="1" applyBorder="1" applyAlignment="1">
      <x:alignment vertical="center" wrapText="0"/>
    </x:xf>
    <x:xf numFmtId="0" fontId="18" fillId="2" borderId="0" xfId="0" applyFont="1" applyAlignment="1">
      <x:alignment vertical="center" wrapText="0"/>
    </x:xf>
    <x:xf numFmtId="0" fontId="18" fillId="0" borderId="2" xfId="0" applyFont="1" applyBorder="1" applyAlignment="1">
      <x:alignment horizontal="left" vertical="center"/>
    </x:xf>
    <x:xf numFmtId="0" fontId="4" fillId="0" borderId="0" xfId="0" applyFont="1"/>
    <x:xf numFmtId="0" fontId="18" fillId="0" borderId="2" xfId="0" applyFont="1" applyBorder="1" applyAlignment="1">
      <x:alignment vertical="center" wrapText="0"/>
    </x:xf>
    <x:xf numFmtId="0" fontId="18" fillId="0" borderId="0" xfId="0" applyFont="1" applyAlignment="1">
      <x:alignment vertical="center" wrapText="0"/>
    </x:xf>
    <x:xf numFmtId="164" fontId="18" fillId="0" borderId="2" xfId="0" applyNumberFormat="1" applyFont="1" applyBorder="1" applyAlignment="1">
      <x:alignment horizontal="left" vertical="center"/>
    </x:xf>
    <x:xf numFmtId="0" fontId="18" fillId="0" borderId="2" xfId="0" applyFont="1" applyBorder="1"/>
    <x:xf numFmtId="0" fontId="1" fillId="0" borderId="0" xfId="0" applyFont="1"/>
    <x:xf numFmtId="0" fontId="19" fillId="0" borderId="0" xfId="0" applyFont="1" applyAlignment="1">
      <x:alignment vertical="center"/>
    </x:xf>
    <x:xf numFmtId="0" fontId="20" fillId="2" borderId="0" xfId="0" applyFont="1" applyAlignment="1">
      <x:alignment vertical="center" wrapText="0"/>
    </x:xf>
    <x:xf numFmtId="0" fontId="20" fillId="2" borderId="0" xfId="0" applyFont="1" applyAlignment="1">
      <x:alignment horizontal="center" vertical="center" wrapText="0"/>
    </x:xf>
    <x:xf numFmtId="0" fontId="20" fillId="0" borderId="0" xfId="0" applyFont="1" applyAlignment="1">
      <x:alignment vertical="center" wrapText="0"/>
    </x:xf>
    <x:xf numFmtId="0" fontId="21" fillId="3" borderId="0" xfId="0" applyFont="1" applyFill="1" applyAlignment="1">
      <x:alignment horizontal="center" vertical="center" wrapText="1"/>
    </x:xf>
    <x:xf numFmtId="0" fontId="22" fillId="4" borderId="3" xfId="0" applyFont="1" applyFill="1" applyBorder="1" applyAlignment="1">
      <x:alignment horizontal="center" vertical="center" wrapText="0"/>
    </x:xf>
    <x:xf numFmtId="0" fontId="22" fillId="5" borderId="3" xfId="0" applyFont="1" applyFill="1" applyBorder="1" applyAlignment="1">
      <x:alignment horizontal="center" vertical="center" wrapText="0"/>
    </x:xf>
    <x:xf numFmtId="0" fontId="22" fillId="6" borderId="3" xfId="0" applyFont="1" applyFill="1" applyBorder="1" applyAlignment="1">
      <x:alignment horizontal="center" vertical="center" wrapText="0"/>
    </x:xf>
    <x:xf numFmtId="0" fontId="22" fillId="7" borderId="3" xfId="0" applyFont="1" applyFill="1" applyBorder="1" applyAlignment="1">
      <x:alignment horizontal="center" vertical="center" wrapText="0"/>
    </x:xf>
    <x:xf numFmtId="0" fontId="8" fillId="0" borderId="4" xfId="0" applyFont="1" applyBorder="1"/>
    <x:xf numFmtId="0" fontId="23" fillId="0" borderId="0" xfId="0" applyFont="1" applyAlignment="1">
      <x:alignment vertical="center"/>
    </x:xf>
    <x:xf numFmtId="0" fontId="22" fillId="8" borderId="5" xfId="0" applyFont="1" applyFill="1" applyBorder="1" applyAlignment="1">
      <x:alignment horizontal="center" vertical="center" wrapText="0"/>
    </x:xf>
    <x:xf numFmtId="0" fontId="8" fillId="0" borderId="6" xfId="0" applyFont="1" applyBorder="1"/>
    <x:xf numFmtId="0" fontId="8" fillId="0" borderId="7" xfId="0" applyFont="1" applyBorder="1"/>
    <x:xf numFmtId="0" fontId="22" fillId="9" borderId="5" xfId="0" applyFont="1" applyFill="1" applyBorder="1" applyAlignment="1">
      <x:alignment horizontal="center" vertical="center" wrapText="0"/>
    </x:xf>
    <x:xf numFmtId="0" fontId="22" fillId="10" borderId="5" xfId="0" applyFont="1" applyFill="1" applyBorder="1" applyAlignment="1">
      <x:alignment horizontal="center" vertical="center" wrapText="0"/>
    </x:xf>
    <x:xf numFmtId="0" fontId="22" fillId="11" borderId="5" xfId="0" applyFont="1" applyFill="1" applyBorder="1" applyAlignment="1">
      <x:alignment horizontal="center" vertical="center" wrapText="0"/>
    </x:xf>
    <x:xf numFmtId="0" fontId="24" fillId="0" borderId="0" xfId="0" applyFont="1" applyAlignment="1">
      <x:alignment vertical="center"/>
    </x:xf>
    <x:xf numFmtId="0" fontId="25" fillId="12" borderId="8" xfId="0" applyFont="1" applyFill="1" applyBorder="1" applyAlignment="1">
      <x:alignment horizontal="center" vertical="center" wrapText="0"/>
    </x:xf>
    <x:xf numFmtId="0" fontId="25" fillId="13" borderId="8" xfId="0" applyFont="1" applyFill="1" applyBorder="1" applyAlignment="1">
      <x:alignment horizontal="center" vertical="center" wrapText="0"/>
    </x:xf>
    <x:xf numFmtId="0" fontId="25" fillId="14" borderId="8" xfId="0" applyFont="1" applyFill="1" applyBorder="1" applyAlignment="1">
      <x:alignment horizontal="center" vertical="center" wrapText="0"/>
    </x:xf>
    <x:xf numFmtId="0" fontId="25" fillId="15" borderId="8" xfId="0" applyFont="1" applyFill="1" applyBorder="1" applyAlignment="1">
      <x:alignment horizontal="center" vertical="center" wrapText="0"/>
    </x:xf>
    <x:xf numFmtId="0" fontId="26" fillId="16" borderId="9" xfId="0" applyFont="1" applyFill="1" applyBorder="1" applyAlignment="1">
      <x:alignment horizontal="left" vertical="center" wrapText="1"/>
    </x:xf>
    <x:xf numFmtId="0" fontId="26" fillId="16" borderId="9" xfId="0" applyFont="1" applyBorder="1" applyAlignment="1">
      <x:alignment vertical="center" wrapText="0"/>
    </x:xf>
    <x:xf numFmtId="0" fontId="26" fillId="16" borderId="9" xfId="0" applyFont="1" applyBorder="1" applyAlignment="1">
      <x:alignment vertical="center" wrapText="1"/>
    </x:xf>
    <x:xf numFmtId="0" fontId="26" fillId="16" borderId="0" xfId="0" applyFont="1" applyAlignment="1">
      <x:alignment horizontal="center" vertical="center" wrapText="0"/>
    </x:xf>
    <x:xf numFmtId="165" fontId="26" fillId="16" borderId="0" xfId="0" applyNumberFormat="1" applyFont="1" applyAlignment="1">
      <x:alignment horizontal="center" vertical="center" wrapText="0"/>
    </x:xf>
    <x:xf numFmtId="3" fontId="26" fillId="16" borderId="0" xfId="0" applyNumberFormat="1" applyFont="1" applyAlignment="1">
      <x:alignment horizontal="center" vertical="center" wrapText="0"/>
    </x:xf>
    <x:xf numFmtId="0" fontId="27" fillId="0" borderId="0" xfId="0" applyFont="1" applyAlignment="1">
      <x:alignment vertical="center"/>
    </x:xf>
    <x:xf numFmtId="0" fontId="28" fillId="0" borderId="10" xfId="0" applyFont="1" applyBorder="1" applyAlignment="1">
      <x:alignment horizontal="left" vertical="center" wrapText="1"/>
    </x:xf>
    <x:xf numFmtId="0" fontId="28" fillId="0" borderId="10" xfId="0" applyFont="1" applyBorder="1" applyAlignment="1">
      <x:alignment vertical="center" wrapText="1"/>
    </x:xf>
    <x:xf numFmtId="164" fontId="28" fillId="0" borderId="10" xfId="0" applyNumberFormat="1" applyFont="1" applyBorder="1" applyAlignment="1">
      <x:alignment horizontal="left" vertical="center" wrapText="1"/>
    </x:xf>
    <x:xf numFmtId="0" fontId="28" fillId="0" borderId="10" xfId="0" applyFont="1" applyBorder="1" applyAlignment="1">
      <x:alignment horizontal="center" vertical="center" wrapText="1"/>
    </x:xf>
    <x:xf numFmtId="9" fontId="28" fillId="0" borderId="10" xfId="0" applyNumberFormat="1" applyFont="1" applyBorder="1" applyAlignment="1">
      <x:alignment horizontal="center" vertical="center" wrapText="1"/>
    </x:xf>
    <x:xf numFmtId="9" fontId="29" fillId="0" borderId="11" xfId="0" applyNumberFormat="1" applyFont="1" applyBorder="1" applyAlignment="1">
      <x:alignment horizontal="center" vertical="center" wrapText="0"/>
    </x:xf>
    <x:xf numFmtId="165" fontId="29" fillId="0" borderId="12" xfId="0" applyNumberFormat="1" applyFont="1" applyBorder="1" applyAlignment="1">
      <x:alignment horizontal="center" vertical="center" wrapText="0"/>
    </x:xf>
    <x:xf numFmtId="0" fontId="29" fillId="0" borderId="12" xfId="0" applyFont="1" applyBorder="1" applyAlignment="1">
      <x:alignment horizontal="center" vertical="center" wrapText="0"/>
    </x:xf>
    <x:xf numFmtId="0" fontId="29" fillId="17" borderId="12" xfId="0" applyFont="1" applyFill="1" applyBorder="1" applyAlignment="1">
      <x:alignment horizontal="center" vertical="center" wrapText="0"/>
    </x:xf>
    <x:xf numFmtId="0" fontId="29" fillId="18" borderId="12" xfId="0" applyFont="1" applyFill="1" applyBorder="1" applyAlignment="1">
      <x:alignment horizontal="center" vertical="center" wrapText="0"/>
    </x:xf>
    <x:xf numFmtId="0" fontId="29" fillId="19" borderId="12" xfId="0" applyFont="1" applyFill="1" applyBorder="1" applyAlignment="1">
      <x:alignment horizontal="center" vertical="center" wrapText="0"/>
    </x:xf>
    <x:xf numFmtId="0" fontId="29" fillId="20" borderId="12" xfId="0" applyFont="1" applyFill="1" applyBorder="1" applyAlignment="1">
      <x:alignment horizontal="center" vertical="center" wrapText="0"/>
    </x:xf>
    <x:xf numFmtId="0" fontId="29" fillId="21" borderId="12" xfId="0" applyFont="1" applyFill="1" applyBorder="1" applyAlignment="1">
      <x:alignment horizontal="center" vertical="center" wrapText="0"/>
    </x:xf>
    <x:xf numFmtId="0" fontId="29" fillId="0" borderId="13" xfId="0" applyFont="1" applyBorder="1" applyAlignment="1">
      <x:alignment horizontal="center" vertical="center" wrapText="0"/>
    </x:xf>
    <x:xf numFmtId="9" fontId="29" fillId="0" borderId="14" xfId="0" applyNumberFormat="1" applyFont="1" applyBorder="1" applyAlignment="1">
      <x:alignment horizontal="center" vertical="center" wrapText="0"/>
    </x:xf>
    <x:xf numFmtId="165" fontId="29" fillId="0" borderId="15" xfId="0" applyNumberFormat="1" applyFont="1" applyBorder="1" applyAlignment="1">
      <x:alignment horizontal="center" vertical="center" wrapText="0"/>
    </x:xf>
    <x:xf numFmtId="0" fontId="29" fillId="0" borderId="15" xfId="0" applyFont="1" applyBorder="1" applyAlignment="1">
      <x:alignment horizontal="center" vertical="center" wrapText="0"/>
    </x:xf>
    <x:xf numFmtId="0" fontId="29" fillId="18" borderId="15" xfId="0" applyFont="1" applyBorder="1" applyAlignment="1">
      <x:alignment horizontal="center" vertical="center" wrapText="0"/>
    </x:xf>
    <x:xf numFmtId="0" fontId="29" fillId="17" borderId="15" xfId="0" applyFont="1" applyBorder="1" applyAlignment="1">
      <x:alignment horizontal="center" vertical="center" wrapText="0"/>
    </x:xf>
    <x:xf numFmtId="0" fontId="29" fillId="19" borderId="15" xfId="0" applyFont="1" applyBorder="1" applyAlignment="1">
      <x:alignment horizontal="center" vertical="center" wrapText="0"/>
    </x:xf>
    <x:xf numFmtId="0" fontId="29" fillId="20" borderId="15" xfId="0" applyFont="1" applyBorder="1" applyAlignment="1">
      <x:alignment horizontal="center" vertical="center" wrapText="0"/>
    </x:xf>
    <x:xf numFmtId="0" fontId="29" fillId="21" borderId="15" xfId="0" applyFont="1" applyBorder="1" applyAlignment="1">
      <x:alignment horizontal="center" vertical="center" wrapText="0"/>
    </x:xf>
    <x:xf numFmtId="0" fontId="29" fillId="0" borderId="16" xfId="0" applyFont="1" applyBorder="1" applyAlignment="1">
      <x:alignment horizontal="center" vertical="center" wrapText="0"/>
    </x:xf>
    <x:xf numFmtId="9" fontId="28" fillId="22" borderId="10" xfId="0" applyNumberFormat="1" applyFont="1" applyFill="1" applyBorder="1" applyAlignment="1">
      <x:alignment horizontal="center" vertical="center" wrapText="1"/>
    </x:xf>
    <x:xf numFmtId="0" fontId="28" fillId="0" borderId="0" xfId="0" applyFont="1" applyAlignment="1">
      <x:alignment horizontal="left" vertical="center" wrapText="1"/>
    </x:xf>
    <x:xf numFmtId="0" fontId="28" fillId="0" borderId="0" xfId="0" applyFont="1" applyAlignment="1">
      <x:alignment vertical="center" wrapText="1"/>
    </x:xf>
    <x:xf numFmtId="164" fontId="28" fillId="0" borderId="0" xfId="0" applyNumberFormat="1" applyFont="1" applyAlignment="1">
      <x:alignment horizontal="left" vertical="center" wrapText="1"/>
    </x:xf>
    <x:xf numFmtId="0" fontId="28" fillId="0" borderId="0" xfId="0" applyFont="1" applyAlignment="1">
      <x:alignment horizontal="center" vertical="center" wrapText="1"/>
    </x:xf>
    <x:xf numFmtId="9" fontId="28" fillId="0" borderId="0" xfId="0" applyNumberFormat="1" applyFont="1" applyAlignment="1">
      <x:alignment horizontal="center" vertical="center" wrapText="1"/>
    </x:xf>
    <x:xf numFmtId="9" fontId="29" fillId="0" borderId="17" xfId="0" applyNumberFormat="1" applyFont="1" applyBorder="1" applyAlignment="1">
      <x:alignment horizontal="center" vertical="center" wrapText="0"/>
    </x:xf>
    <x:xf numFmtId="165" fontId="29" fillId="0" borderId="18" xfId="0" applyNumberFormat="1" applyFont="1" applyBorder="1" applyAlignment="1">
      <x:alignment horizontal="center" vertical="center" wrapText="0"/>
    </x:xf>
    <x:xf numFmtId="0" fontId="29" fillId="0" borderId="18" xfId="0" applyFont="1" applyBorder="1" applyAlignment="1">
      <x:alignment horizontal="center" vertical="center" wrapText="0"/>
    </x:xf>
    <x:xf numFmtId="0" fontId="29" fillId="18" borderId="18" xfId="0" applyFont="1" applyBorder="1" applyAlignment="1">
      <x:alignment horizontal="center" vertical="center" wrapText="0"/>
    </x:xf>
    <x:xf numFmtId="0" fontId="29" fillId="17" borderId="18" xfId="0" applyFont="1" applyBorder="1" applyAlignment="1">
      <x:alignment horizontal="center" vertical="center" wrapText="0"/>
    </x:xf>
    <x:xf numFmtId="0" fontId="29" fillId="19" borderId="18" xfId="0" applyFont="1" applyBorder="1" applyAlignment="1">
      <x:alignment horizontal="center" vertical="center" wrapText="0"/>
    </x:xf>
    <x:xf numFmtId="0" fontId="29" fillId="20" borderId="18" xfId="0" applyFont="1" applyBorder="1" applyAlignment="1">
      <x:alignment horizontal="center" vertical="center" wrapText="0"/>
    </x:xf>
    <x:xf numFmtId="0" fontId="29" fillId="21" borderId="18" xfId="0" applyFont="1" applyBorder="1" applyAlignment="1">
      <x:alignment horizontal="center" vertical="center" wrapText="0"/>
    </x:xf>
    <x:xf numFmtId="0" fontId="29" fillId="0" borderId="19" xfId="0" applyFont="1" applyBorder="1" applyAlignment="1">
      <x:alignment horizontal="center" vertical="center" wrapText="0"/>
    </x:xf>
    <x:xf numFmtId="0" fontId="29" fillId="13" borderId="12" xfId="0" applyFont="1" applyBorder="1" applyAlignment="1">
      <x:alignment horizontal="center" vertical="center" wrapText="0"/>
    </x:xf>
    <x:xf numFmtId="0" fontId="30" fillId="13" borderId="15" xfId="0" applyFont="1" applyBorder="1"/>
    <x:xf numFmtId="0" fontId="30" fillId="13" borderId="20" xfId="0" applyFont="1" applyBorder="1"/>
    <x:xf numFmtId="0" fontId="19" fillId="0" borderId="0" xfId="0" applyFont="1" applyAlignment="1">
      <x:alignment horizontal="center" vertical="center"/>
    </x:xf>
    <x:xf numFmtId="200" fontId="18" fillId="0" borderId="2" xfId="0" applyNumberFormat="1" applyFont="1" applyFill="1" applyBorder="1" applyAlignment="1">
      <x:alignment horizontal="left" vertical="center"/>
    </x:xf>
    <x:xf numFmtId="0" fontId="22" fillId="23" borderId="3" xfId="0" applyNumberFormat="1" applyFont="1" applyFill="1" applyBorder="1" applyAlignment="1">
      <x:alignment horizontal="center" vertical="center" wrapText="0"/>
    </x:xf>
    <x:xf numFmtId="0" fontId="0" fillId="23" borderId="0" xfId="0" applyNumberFormat="1" applyFont="1" applyFill="1" applyBorder="1" applyAlignment="1">
      <x:alignment vertical="bottom" wrapText="0"/>
    </x:xf>
    <x:xf numFmtId="0" fontId="31" fillId="23" borderId="0" xfId="0" applyNumberFormat="1" applyFont="1" applyFill="1" applyBorder="1" applyAlignment="1">
      <x:alignment vertical="bottom" wrapText="0"/>
    </x:xf>
    <x:xf numFmtId="0" fontId="31" fillId="23" borderId="0" xfId="0" applyNumberFormat="1" applyFont="1" applyFill="1" applyBorder="1" applyAlignment="1">
      <x:alignment horizontal="center" vertical="bottom" wrapText="0"/>
    </x:xf>
    <x:xf numFmtId="0" fontId="31" fillId="23" borderId="0" xfId="0" applyNumberFormat="1" applyFont="1" applyFill="1" applyBorder="1" applyAlignment="1">
      <x:alignment horizontal="center" vertical="center" wrapText="0"/>
    </x:xf>
    <x:xf numFmtId="0" fontId="0" fillId="24" borderId="0" xfId="0" applyNumberFormat="1" applyFont="1" applyFill="1" applyBorder="1" applyAlignment="1">
      <x:alignment vertical="bottom" wrapText="0"/>
    </x:xf>
    <x:xf numFmtId="0" fontId="22" fillId="24" borderId="3" xfId="0" applyNumberFormat="1" applyFont="1" applyFill="1" applyBorder="1" applyAlignment="1">
      <x:alignment horizontal="center" vertical="center" wrapText="0"/>
    </x:xf>
    <x:xf numFmtId="0" fontId="31" fillId="24" borderId="0" xfId="0" applyNumberFormat="1" applyFont="1" applyFill="1" applyBorder="1" applyAlignment="1">
      <x:alignment vertical="bottom" wrapText="0"/>
    </x:xf>
    <x:xf numFmtId="0" fontId="31" fillId="24" borderId="0" xfId="0" applyNumberFormat="1" applyFont="1" applyFill="1" applyBorder="1" applyAlignment="1">
      <x:alignment horizontal="center" vertical="bottom" wrapText="0"/>
    </x:xf>
    <x:xf numFmtId="0" fontId="31" fillId="24" borderId="0" xfId="0" applyNumberFormat="1" applyFont="1" applyFill="1" applyBorder="1" applyAlignment="1">
      <x:alignment horizontal="center" vertical="center" wrapText="0"/>
    </x:xf>
    <x:xf numFmtId="0" fontId="0" fillId="25" borderId="0" xfId="0" applyNumberFormat="1" applyFont="1" applyFill="1" applyBorder="1" applyAlignment="1">
      <x:alignment vertical="bottom" wrapText="0"/>
    </x:xf>
    <x:xf numFmtId="0" fontId="31" fillId="25" borderId="0" xfId="0" applyNumberFormat="1" applyFont="1" applyFill="1" applyBorder="1" applyAlignment="1">
      <x:alignment vertical="bottom" wrapText="0"/>
    </x:xf>
    <x:xf numFmtId="0" fontId="31" fillId="25" borderId="0" xfId="0" applyNumberFormat="1" applyFont="1" applyFill="1" applyBorder="1" applyAlignment="1">
      <x:alignment horizontal="center" vertical="bottom" wrapText="0"/>
    </x:xf>
    <x:xf numFmtId="0" fontId="31" fillId="25" borderId="0" xfId="0" applyNumberFormat="1" applyFont="1" applyFill="1" applyBorder="1" applyAlignment="1">
      <x:alignment horizontal="center" vertical="center" wrapText="0"/>
    </x:xf>
    <x:xf numFmtId="0" fontId="22" fillId="26" borderId="3" xfId="0" applyNumberFormat="1" applyFont="1" applyFill="1" applyBorder="1" applyAlignment="1">
      <x:alignment horizontal="center" vertical="center" wrapText="0"/>
    </x:xf>
    <x:xf numFmtId="0" fontId="0" fillId="26" borderId="0" xfId="0" applyNumberFormat="1" applyFont="1" applyFill="1" applyBorder="1" applyAlignment="1">
      <x:alignment vertical="bottom" wrapText="0"/>
    </x:xf>
    <x:xf numFmtId="0" fontId="31" fillId="26" borderId="0" xfId="0" applyNumberFormat="1" applyFont="1" applyFill="1" applyBorder="1" applyAlignment="1">
      <x:alignment vertical="bottom" wrapText="0"/>
    </x:xf>
    <x:xf numFmtId="0" fontId="31" fillId="26" borderId="0" xfId="0" applyNumberFormat="1" applyFont="1" applyFill="1" applyBorder="1" applyAlignment="1">
      <x:alignment horizontal="center" vertical="bottom" wrapText="0"/>
    </x:xf>
    <x:xf numFmtId="0" fontId="31" fillId="26" borderId="0" xfId="0" applyNumberFormat="1" applyFont="1" applyFill="1" applyBorder="1" applyAlignment="1">
      <x:alignment horizontal="center" vertical="center" wrapText="0"/>
    </x:xf>
    <x:xf numFmtId="0" fontId="0" fillId="27" borderId="0" xfId="0" applyNumberFormat="1" applyFont="1" applyFill="1" applyBorder="1" applyAlignment="1">
      <x:alignment vertical="bottom" wrapText="0"/>
    </x:xf>
    <x:xf numFmtId="0" fontId="22" fillId="27" borderId="3" xfId="0" applyNumberFormat="1" applyFont="1" applyFill="1" applyBorder="1" applyAlignment="1">
      <x:alignment horizontal="center" vertical="center" wrapText="0"/>
    </x:xf>
    <x:xf numFmtId="0" fontId="8" fillId="27" borderId="4" xfId="0" applyNumberFormat="1" applyFont="1" applyFill="1" applyBorder="1"/>
    <x:xf numFmtId="0" fontId="31" fillId="27" borderId="0" xfId="0" applyNumberFormat="1" applyFont="1" applyFill="1" applyBorder="1" applyAlignment="1">
      <x:alignment vertical="bottom" wrapText="0"/>
    </x:xf>
    <x:xf numFmtId="0" fontId="32" fillId="27" borderId="4" xfId="0" applyNumberFormat="1" applyFont="1" applyFill="1" applyBorder="1"/>
    <x:xf numFmtId="0" fontId="31" fillId="27" borderId="0" xfId="0" applyNumberFormat="1" applyFont="1" applyFill="1" applyBorder="1" applyAlignment="1">
      <x:alignment horizontal="center" vertical="bottom" wrapText="0"/>
    </x:xf>
    <x:xf numFmtId="0" fontId="32" fillId="27" borderId="4" xfId="0" applyNumberFormat="1" applyFont="1" applyFill="1" applyBorder="1" applyAlignment="1">
      <x:alignment horizontal="center"/>
    </x:xf>
    <x:xf numFmtId="0" fontId="31" fillId="27" borderId="0" xfId="0" applyNumberFormat="1" applyFont="1" applyFill="1" applyBorder="1" applyAlignment="1">
      <x:alignment horizontal="center" vertical="center" wrapText="0"/>
    </x:xf>
    <x:xf numFmtId="0" fontId="32" fillId="27" borderId="4" xfId="0" applyNumberFormat="1" applyFont="1" applyFill="1" applyBorder="1" applyAlignment="1">
      <x:alignment horizontal="center" vertical="center"/>
    </x:xf>
    <x:xf numFmtId="201" fontId="20" fillId="2" borderId="0" xfId="0" applyNumberFormat="1" applyFont="1" applyFill="1" applyBorder="1" applyAlignment="1">
      <x:alignment vertical="center" wrapText="0"/>
    </x:xf>
    <x:xf numFmtId="201" fontId="19" fillId="0" borderId="0" xfId="0" applyNumberFormat="1" applyFont="1" applyFill="1" applyBorder="1" applyAlignment="1">
      <x:alignment vertical="center"/>
    </x:xf>
    <x:xf numFmtId="0" fontId="25" fillId="12" borderId="8" xfId="0" applyNumberFormat="1" applyFont="1" applyFill="1" applyBorder="1" applyAlignment="1">
      <x:alignment horizontal="center" vertical="center" wrapText="0"/>
    </x:xf>
    <x:xf numFmtId="0" fontId="25" fillId="13" borderId="8" xfId="0" applyNumberFormat="1" applyFont="1" applyFill="1" applyBorder="1" applyAlignment="1">
      <x:alignment horizontal="center" vertical="center" wrapText="0"/>
    </x:xf>
    <x:xf numFmtId="0" fontId="25" fillId="14" borderId="8" xfId="0" applyNumberFormat="1" applyFont="1" applyFill="1" applyBorder="1" applyAlignment="1">
      <x:alignment horizontal="center" vertical="center" wrapText="0"/>
    </x:xf>
    <x:xf numFmtId="0" fontId="25" fillId="15" borderId="8" xfId="0" applyNumberFormat="1" applyFont="1" applyFill="1" applyBorder="1" applyAlignment="1">
      <x:alignment horizontal="center" vertical="center" wrapText="0"/>
    </x:xf>
    <x:xf numFmtId="200" fontId="26" fillId="16" borderId="9" xfId="0" applyNumberFormat="1" applyFont="1" applyFill="1" applyBorder="1" applyAlignment="1">
      <x:alignment vertical="center" wrapText="1"/>
    </x:xf>
    <x:xf numFmtId="200" fontId="28" fillId="0" borderId="10" xfId="0" applyNumberFormat="1" applyFont="1" applyFill="1" applyBorder="1" applyAlignment="1">
      <x:alignment horizontal="left" vertical="center" wrapText="1"/>
    </x:xf>
    <x:xf numFmtId="200" fontId="28" fillId="0" borderId="0" xfId="0" applyNumberFormat="1" applyFont="1" applyFill="1" applyBorder="1" applyAlignment="1">
      <x:alignment horizontal="left" vertical="center" wrapText="1"/>
    </x:xf>
    <x:xf numFmtId="202" fontId="26" fillId="16" borderId="9" xfId="0" applyNumberFormat="1" applyFont="1" applyFill="1" applyBorder="1" applyAlignment="1">
      <x:alignment vertical="center" wrapText="1"/>
    </x:xf>
    <x:xf numFmtId="202" fontId="28" fillId="0" borderId="10" xfId="0" applyNumberFormat="1" applyFont="1" applyFill="1" applyBorder="1" applyAlignment="1">
      <x:alignment horizontal="center" vertical="center" wrapText="1"/>
    </x:xf>
    <x:xf numFmtId="202" fontId="28" fillId="0" borderId="0" xfId="0" applyNumberFormat="1" applyFont="1" applyFill="1" applyBorder="1" applyAlignment="1">
      <x:alignment horizontal="center" vertical="center" wrapText="1"/>
    </x:xf>
    <x:xf numFmtId="203" fontId="26" fillId="16" borderId="9" xfId="0" applyNumberFormat="1" applyFont="1" applyFill="1" applyBorder="1" applyAlignment="1">
      <x:alignment vertical="center" wrapText="1"/>
    </x:xf>
    <x:xf numFmtId="203" fontId="28" fillId="0" borderId="10" xfId="0" applyNumberFormat="1" applyFont="1" applyFill="1" applyBorder="1" applyAlignment="1">
      <x:alignment horizontal="center" vertical="center" wrapText="1"/>
    </x:xf>
    <x:xf numFmtId="203" fontId="28" fillId="22" borderId="10" xfId="0" applyNumberFormat="1" applyFont="1" applyFill="1" applyBorder="1" applyAlignment="1">
      <x:alignment horizontal="center" vertical="center" wrapText="1"/>
    </x:xf>
    <x:xf numFmtId="203" fontId="28" fillId="0" borderId="0" xfId="0" applyNumberFormat="1" applyFont="1" applyFill="1" applyBorder="1" applyAlignment="1">
      <x:alignment horizontal="center" vertical="center" wrapText="1"/>
    </x:xf>
    <x:xf numFmtId="0" fontId="26" fillId="16" borderId="9" xfId="0" applyNumberFormat="1" applyFont="1" applyFill="1" applyBorder="1" applyAlignment="1">
      <x:alignment horizontal="left" vertical="center" wrapText="1"/>
    </x:xf>
    <x:xf numFmtId="0" fontId="26" fillId="16" borderId="9" xfId="0" applyNumberFormat="1" applyFont="1" applyFill="1" applyBorder="1" applyAlignment="1">
      <x:alignment vertical="center" wrapText="1"/>
    </x:xf>
    <x:xf numFmtId="0" fontId="28" fillId="0" borderId="10" xfId="0" applyNumberFormat="1" applyFont="1" applyFill="1" applyBorder="1" applyAlignment="1">
      <x:alignment horizontal="left" vertical="center" wrapText="1"/>
    </x:xf>
    <x:xf numFmtId="0" fontId="28" fillId="0" borderId="10" xfId="0" applyNumberFormat="1" applyFont="1" applyFill="1" applyBorder="1" applyAlignment="1">
      <x:alignment vertical="center" wrapText="1"/>
    </x:xf>
    <x:xf numFmtId="0" fontId="28" fillId="0" borderId="0" xfId="0" applyNumberFormat="1" applyFont="1" applyFill="1" applyBorder="1" applyAlignment="1">
      <x:alignment horizontal="left" vertical="center" wrapText="1"/>
    </x:xf>
    <x:xf numFmtId="0" fontId="28" fillId="0" borderId="0" xfId="0" applyNumberFormat="1" applyFont="1" applyFill="1" applyBorder="1" applyAlignment="1">
      <x:alignment vertical="center" wrapText="1"/>
    </x:xf>
    <x:xf numFmtId="0" fontId="26" fillId="28" borderId="9" xfId="0" applyNumberFormat="1" applyFont="1" applyFill="1" applyBorder="1" applyAlignment="1">
      <x:alignment horizontal="left" vertical="center" wrapText="1"/>
    </x:xf>
    <x:xf numFmtId="0" fontId="26" fillId="28" borderId="9" xfId="0" applyNumberFormat="1" applyFont="1" applyFill="1" applyBorder="1" applyAlignment="1">
      <x:alignment vertical="center" wrapText="1"/>
    </x:xf>
    <x:xf numFmtId="200" fontId="26" fillId="28" borderId="9" xfId="0" applyNumberFormat="1" applyFont="1" applyFill="1" applyBorder="1" applyAlignment="1">
      <x:alignment vertical="center" wrapText="1"/>
    </x:xf>
    <x:xf numFmtId="202" fontId="26" fillId="28" borderId="9" xfId="0" applyNumberFormat="1" applyFont="1" applyFill="1" applyBorder="1" applyAlignment="1">
      <x:alignment vertical="center" wrapText="1"/>
    </x:xf>
    <x:xf numFmtId="203" fontId="26" fillId="28" borderId="9" xfId="0" applyNumberFormat="1" applyFont="1" applyFill="1" applyBorder="1" applyAlignment="1">
      <x:alignment vertical="center" wrapText="1"/>
    </x:xf>
    <x:xf numFmtId="0" fontId="28" fillId="28" borderId="10" xfId="0" applyNumberFormat="1" applyFont="1" applyFill="1" applyBorder="1" applyAlignment="1">
      <x:alignment horizontal="left" vertical="center" wrapText="1"/>
    </x:xf>
    <x:xf numFmtId="0" fontId="28" fillId="28" borderId="10" xfId="0" applyNumberFormat="1" applyFont="1" applyFill="1" applyBorder="1" applyAlignment="1">
      <x:alignment vertical="center" wrapText="1"/>
    </x:xf>
    <x:xf numFmtId="200" fontId="28" fillId="28" borderId="10" xfId="0" applyNumberFormat="1" applyFont="1" applyFill="1" applyBorder="1" applyAlignment="1">
      <x:alignment horizontal="left" vertical="center" wrapText="1"/>
    </x:xf>
    <x:xf numFmtId="202" fontId="28" fillId="28" borderId="10" xfId="0" applyNumberFormat="1" applyFont="1" applyFill="1" applyBorder="1" applyAlignment="1">
      <x:alignment horizontal="center" vertical="center" wrapText="1"/>
    </x:xf>
    <x:xf numFmtId="203" fontId="28" fillId="28" borderId="10" xfId="0" applyNumberFormat="1" applyFont="1" applyFill="1" applyBorder="1" applyAlignment="1">
      <x:alignment horizontal="center" vertical="center" wrapText="1"/>
    </x:xf>
    <x:xf numFmtId="0" fontId="28" fillId="28" borderId="0" xfId="0" applyNumberFormat="1" applyFont="1" applyFill="1" applyBorder="1" applyAlignment="1">
      <x:alignment horizontal="left" vertical="center" wrapText="1"/>
    </x:xf>
    <x:xf numFmtId="0" fontId="28" fillId="28" borderId="0" xfId="0" applyNumberFormat="1" applyFont="1" applyFill="1" applyBorder="1" applyAlignment="1">
      <x:alignment vertical="center" wrapText="1"/>
    </x:xf>
    <x:xf numFmtId="200" fontId="28" fillId="28" borderId="0" xfId="0" applyNumberFormat="1" applyFont="1" applyFill="1" applyBorder="1" applyAlignment="1">
      <x:alignment horizontal="left" vertical="center" wrapText="1"/>
    </x:xf>
    <x:xf numFmtId="202" fontId="28" fillId="28" borderId="0" xfId="0" applyNumberFormat="1" applyFont="1" applyFill="1" applyBorder="1" applyAlignment="1">
      <x:alignment horizontal="center" vertical="center" wrapText="1"/>
    </x:xf>
    <x:xf numFmtId="203" fontId="28" fillId="28" borderId="0" xfId="0" applyNumberFormat="1" applyFont="1" applyFill="1" applyBorder="1" applyAlignment="1">
      <x:alignment horizontal="center" vertical="center" wrapText="1"/>
    </x:xf>
    <x:xf numFmtId="0" fontId="33" fillId="28" borderId="9" xfId="0" applyNumberFormat="1" applyFont="1" applyFill="1" applyBorder="1" applyAlignment="1">
      <x:alignment horizontal="left" vertical="center" wrapText="1"/>
    </x:xf>
    <x:xf numFmtId="0" fontId="33" fillId="28" borderId="9" xfId="0" applyNumberFormat="1" applyFont="1" applyFill="1" applyBorder="1" applyAlignment="1">
      <x:alignment vertical="center" wrapText="1"/>
    </x:xf>
    <x:xf numFmtId="200" fontId="33" fillId="28" borderId="9" xfId="0" applyNumberFormat="1" applyFont="1" applyFill="1" applyBorder="1" applyAlignment="1">
      <x:alignment vertical="center" wrapText="1"/>
    </x:xf>
    <x:xf numFmtId="202" fontId="33" fillId="28" borderId="9" xfId="0" applyNumberFormat="1" applyFont="1" applyFill="1" applyBorder="1" applyAlignment="1">
      <x:alignment vertical="center" wrapText="1"/>
    </x:xf>
    <x:xf numFmtId="203" fontId="33" fillId="28" borderId="9" xfId="0" applyNumberFormat="1" applyFont="1" applyFill="1" applyBorder="1" applyAlignment="1">
      <x:alignment vertical="center" wrapText="1"/>
    </x:xf>
    <x:xf numFmtId="0" fontId="34" fillId="28" borderId="10" xfId="0" applyNumberFormat="1" applyFont="1" applyFill="1" applyBorder="1" applyAlignment="1">
      <x:alignment horizontal="left" vertical="center" wrapText="1"/>
    </x:xf>
    <x:xf numFmtId="0" fontId="34" fillId="28" borderId="10" xfId="0" applyNumberFormat="1" applyFont="1" applyFill="1" applyBorder="1" applyAlignment="1">
      <x:alignment vertical="center" wrapText="1"/>
    </x:xf>
    <x:xf numFmtId="200" fontId="34" fillId="28" borderId="10" xfId="0" applyNumberFormat="1" applyFont="1" applyFill="1" applyBorder="1" applyAlignment="1">
      <x:alignment horizontal="left" vertical="center" wrapText="1"/>
    </x:xf>
    <x:xf numFmtId="202" fontId="34" fillId="28" borderId="10" xfId="0" applyNumberFormat="1" applyFont="1" applyFill="1" applyBorder="1" applyAlignment="1">
      <x:alignment horizontal="center" vertical="center" wrapText="1"/>
    </x:xf>
    <x:xf numFmtId="203" fontId="34" fillId="28" borderId="10" xfId="0" applyNumberFormat="1" applyFont="1" applyFill="1" applyBorder="1" applyAlignment="1">
      <x:alignment horizontal="center" vertical="center" wrapText="1"/>
    </x:xf>
    <x:xf numFmtId="0" fontId="34" fillId="28" borderId="0" xfId="0" applyNumberFormat="1" applyFont="1" applyFill="1" applyBorder="1" applyAlignment="1">
      <x:alignment horizontal="left" vertical="center" wrapText="1"/>
    </x:xf>
    <x:xf numFmtId="0" fontId="34" fillId="28" borderId="0" xfId="0" applyNumberFormat="1" applyFont="1" applyFill="1" applyBorder="1" applyAlignment="1">
      <x:alignment vertical="center" wrapText="1"/>
    </x:xf>
    <x:xf numFmtId="200" fontId="34" fillId="28" borderId="0" xfId="0" applyNumberFormat="1" applyFont="1" applyFill="1" applyBorder="1" applyAlignment="1">
      <x:alignment horizontal="left" vertical="center" wrapText="1"/>
    </x:xf>
    <x:xf numFmtId="202" fontId="34" fillId="28" borderId="0" xfId="0" applyNumberFormat="1" applyFont="1" applyFill="1" applyBorder="1" applyAlignment="1">
      <x:alignment horizontal="center" vertical="center" wrapText="1"/>
    </x:xf>
    <x:xf numFmtId="203" fontId="34" fillId="28" borderId="0" xfId="0" applyNumberFormat="1" applyFont="1" applyFill="1" applyBorder="1" applyAlignment="1">
      <x:alignment horizontal="center" vertical="center" wrapText="1"/>
    </x:xf>
    <x:xf numFmtId="0" fontId="33" fillId="28" borderId="9" xfId="0" applyNumberFormat="1" applyFont="1" applyFill="1" applyBorder="1" applyAlignment="1">
      <x:alignment horizontal="center" vertical="center" wrapText="1"/>
    </x:xf>
    <x:xf numFmtId="0" fontId="34" fillId="28" borderId="10" xfId="0" applyNumberFormat="1" applyFont="1" applyFill="1" applyBorder="1" applyAlignment="1">
      <x:alignment horizontal="center" vertical="center" wrapText="1"/>
    </x:xf>
    <x:xf numFmtId="0" fontId="34" fillId="28" borderId="0" xfId="0" applyNumberFormat="1" applyFont="1" applyFill="1" applyBorder="1" applyAlignment="1">
      <x:alignment horizontal="center" vertical="center" wrapText="1"/>
    </x:xf>
    <x:xf numFmtId="200" fontId="33" fillId="28" borderId="9" xfId="0" applyNumberFormat="1" applyFont="1" applyFill="1" applyBorder="1" applyAlignment="1">
      <x:alignment horizontal="center" vertical="center" wrapText="1"/>
    </x:xf>
    <x:xf numFmtId="202" fontId="33" fillId="28" borderId="9" xfId="0" applyNumberFormat="1" applyFont="1" applyFill="1" applyBorder="1" applyAlignment="1">
      <x:alignment horizontal="center" vertical="center" wrapText="1"/>
    </x:xf>
    <x:xf numFmtId="203" fontId="33" fillId="28" borderId="9" xfId="0" applyNumberFormat="1" applyFont="1" applyFill="1" applyBorder="1" applyAlignment="1">
      <x:alignment horizontal="center" vertical="center" wrapText="1"/>
    </x:xf>
    <x:xf numFmtId="200" fontId="34" fillId="28" borderId="10" xfId="0" applyNumberFormat="1" applyFont="1" applyFill="1" applyBorder="1" applyAlignment="1">
      <x:alignment horizontal="center" vertical="center" wrapText="1"/>
    </x:xf>
    <x:xf numFmtId="200" fontId="34" fillId="28" borderId="0" xfId="0" applyNumberFormat="1" applyFont="1" applyFill="1" applyBorder="1" applyAlignment="1">
      <x:alignment horizontal="center" vertical="center" wrapText="1"/>
    </x:xf>
    <x:xf numFmtId="201" fontId="26" fillId="16" borderId="0" xfId="0" applyNumberFormat="1" applyFont="1" applyFill="1" applyBorder="1" applyAlignment="1">
      <x:alignment horizontal="center" vertical="center" wrapText="0"/>
    </x:xf>
    <x:xf numFmtId="201" fontId="29" fillId="0" borderId="11" xfId="0" applyNumberFormat="1" applyFont="1" applyFill="1" applyBorder="1" applyAlignment="1">
      <x:alignment horizontal="center" vertical="center" wrapText="0"/>
    </x:xf>
    <x:xf numFmtId="201" fontId="29" fillId="0" borderId="12" xfId="0" applyNumberFormat="1" applyFont="1" applyFill="1" applyBorder="1" applyAlignment="1">
      <x:alignment horizontal="center" vertical="center" wrapText="0"/>
    </x:xf>
    <x:xf numFmtId="201" fontId="29" fillId="17" borderId="12" xfId="0" applyNumberFormat="1" applyFont="1" applyFill="1" applyBorder="1" applyAlignment="1">
      <x:alignment horizontal="center" vertical="center" wrapText="0"/>
    </x:xf>
    <x:xf numFmtId="201" fontId="29" fillId="18" borderId="12" xfId="0" applyNumberFormat="1" applyFont="1" applyFill="1" applyBorder="1" applyAlignment="1">
      <x:alignment horizontal="center" vertical="center" wrapText="0"/>
    </x:xf>
    <x:xf numFmtId="201" fontId="29" fillId="19" borderId="12" xfId="0" applyNumberFormat="1" applyFont="1" applyFill="1" applyBorder="1" applyAlignment="1">
      <x:alignment horizontal="center" vertical="center" wrapText="0"/>
    </x:xf>
    <x:xf numFmtId="201" fontId="29" fillId="20" borderId="12" xfId="0" applyNumberFormat="1" applyFont="1" applyFill="1" applyBorder="1" applyAlignment="1">
      <x:alignment horizontal="center" vertical="center" wrapText="0"/>
    </x:xf>
    <x:xf numFmtId="201" fontId="29" fillId="21" borderId="12" xfId="0" applyNumberFormat="1" applyFont="1" applyFill="1" applyBorder="1" applyAlignment="1">
      <x:alignment horizontal="center" vertical="center" wrapText="0"/>
    </x:xf>
    <x:xf numFmtId="201" fontId="29" fillId="0" borderId="13" xfId="0" applyNumberFormat="1" applyFont="1" applyFill="1" applyBorder="1" applyAlignment="1">
      <x:alignment horizontal="center" vertical="center" wrapText="0"/>
    </x:xf>
    <x:xf numFmtId="201" fontId="29" fillId="0" borderId="14" xfId="0" applyNumberFormat="1" applyFont="1" applyFill="1" applyBorder="1" applyAlignment="1">
      <x:alignment horizontal="center" vertical="center" wrapText="0"/>
    </x:xf>
    <x:xf numFmtId="201" fontId="29" fillId="0" borderId="15" xfId="0" applyNumberFormat="1" applyFont="1" applyFill="1" applyBorder="1" applyAlignment="1">
      <x:alignment horizontal="center" vertical="center" wrapText="0"/>
    </x:xf>
    <x:xf numFmtId="201" fontId="29" fillId="18" borderId="15" xfId="0" applyNumberFormat="1" applyFont="1" applyFill="1" applyBorder="1" applyAlignment="1">
      <x:alignment horizontal="center" vertical="center" wrapText="0"/>
    </x:xf>
    <x:xf numFmtId="201" fontId="29" fillId="17" borderId="15" xfId="0" applyNumberFormat="1" applyFont="1" applyFill="1" applyBorder="1" applyAlignment="1">
      <x:alignment horizontal="center" vertical="center" wrapText="0"/>
    </x:xf>
    <x:xf numFmtId="201" fontId="29" fillId="19" borderId="15" xfId="0" applyNumberFormat="1" applyFont="1" applyFill="1" applyBorder="1" applyAlignment="1">
      <x:alignment horizontal="center" vertical="center" wrapText="0"/>
    </x:xf>
    <x:xf numFmtId="201" fontId="29" fillId="20" borderId="15" xfId="0" applyNumberFormat="1" applyFont="1" applyFill="1" applyBorder="1" applyAlignment="1">
      <x:alignment horizontal="center" vertical="center" wrapText="0"/>
    </x:xf>
    <x:xf numFmtId="201" fontId="29" fillId="21" borderId="15" xfId="0" applyNumberFormat="1" applyFont="1" applyFill="1" applyBorder="1" applyAlignment="1">
      <x:alignment horizontal="center" vertical="center" wrapText="0"/>
    </x:xf>
    <x:xf numFmtId="201" fontId="29" fillId="0" borderId="16" xfId="0" applyNumberFormat="1" applyFont="1" applyFill="1" applyBorder="1" applyAlignment="1">
      <x:alignment horizontal="center" vertical="center" wrapText="0"/>
    </x:xf>
    <x:xf numFmtId="201" fontId="29" fillId="0" borderId="17" xfId="0" applyNumberFormat="1" applyFont="1" applyFill="1" applyBorder="1" applyAlignment="1">
      <x:alignment horizontal="center" vertical="center" wrapText="0"/>
    </x:xf>
    <x:xf numFmtId="201" fontId="29" fillId="0" borderId="18" xfId="0" applyNumberFormat="1" applyFont="1" applyFill="1" applyBorder="1" applyAlignment="1">
      <x:alignment horizontal="center" vertical="center" wrapText="0"/>
    </x:xf>
    <x:xf numFmtId="201" fontId="29" fillId="18" borderId="18" xfId="0" applyNumberFormat="1" applyFont="1" applyFill="1" applyBorder="1" applyAlignment="1">
      <x:alignment horizontal="center" vertical="center" wrapText="0"/>
    </x:xf>
    <x:xf numFmtId="201" fontId="29" fillId="17" borderId="18" xfId="0" applyNumberFormat="1" applyFont="1" applyFill="1" applyBorder="1" applyAlignment="1">
      <x:alignment horizontal="center" vertical="center" wrapText="0"/>
    </x:xf>
    <x:xf numFmtId="201" fontId="29" fillId="19" borderId="18" xfId="0" applyNumberFormat="1" applyFont="1" applyFill="1" applyBorder="1" applyAlignment="1">
      <x:alignment horizontal="center" vertical="center" wrapText="0"/>
    </x:xf>
    <x:xf numFmtId="201" fontId="29" fillId="20" borderId="18" xfId="0" applyNumberFormat="1" applyFont="1" applyFill="1" applyBorder="1" applyAlignment="1">
      <x:alignment horizontal="center" vertical="center" wrapText="0"/>
    </x:xf>
    <x:xf numFmtId="201" fontId="29" fillId="21" borderId="18" xfId="0" applyNumberFormat="1" applyFont="1" applyFill="1" applyBorder="1" applyAlignment="1">
      <x:alignment horizontal="center" vertical="center" wrapText="0"/>
    </x:xf>
    <x:xf numFmtId="201" fontId="29" fillId="0" borderId="19" xfId="0" applyNumberFormat="1" applyFont="1" applyFill="1" applyBorder="1" applyAlignment="1">
      <x:alignment horizontal="center" vertical="center" wrapText="0"/>
    </x:xf>
    <x:xf numFmtId="201" fontId="29" fillId="13" borderId="12" xfId="0" applyNumberFormat="1" applyFont="1" applyFill="1" applyBorder="1" applyAlignment="1">
      <x:alignment horizontal="center" vertical="center" wrapText="0"/>
    </x:xf>
    <x:xf numFmtId="201" fontId="30" fillId="13" borderId="15" xfId="0" applyNumberFormat="1" applyFont="1" applyFill="1" applyBorder="1"/>
    <x:xf numFmtId="201" fontId="30" fillId="13" borderId="20" xfId="0" applyNumberFormat="1" applyFont="1" applyFill="1" applyBorder="1"/>
    <x:xf numFmtId="201" fontId="26" fillId="16" borderId="21" xfId="0" applyNumberFormat="1" applyFont="1" applyFill="1" applyBorder="1" applyAlignment="1">
      <x:alignment horizontal="center" vertical="center" wrapText="0"/>
    </x:xf>
    <x:xf numFmtId="201" fontId="29" fillId="0" borderId="21" xfId="0" applyNumberFormat="1" applyFont="1" applyFill="1" applyBorder="1" applyAlignment="1">
      <x:alignment horizontal="center" vertical="center" wrapText="0"/>
    </x:xf>
    <x:xf numFmtId="201" fontId="29" fillId="17" borderId="21" xfId="0" applyNumberFormat="1" applyFont="1" applyFill="1" applyBorder="1" applyAlignment="1">
      <x:alignment horizontal="center" vertical="center" wrapText="0"/>
    </x:xf>
    <x:xf numFmtId="201" fontId="29" fillId="18" borderId="21" xfId="0" applyNumberFormat="1" applyFont="1" applyFill="1" applyBorder="1" applyAlignment="1">
      <x:alignment horizontal="center" vertical="center" wrapText="0"/>
    </x:xf>
    <x:xf numFmtId="201" fontId="29" fillId="19" borderId="21" xfId="0" applyNumberFormat="1" applyFont="1" applyFill="1" applyBorder="1" applyAlignment="1">
      <x:alignment horizontal="center" vertical="center" wrapText="0"/>
    </x:xf>
    <x:xf numFmtId="201" fontId="29" fillId="20" borderId="21" xfId="0" applyNumberFormat="1" applyFont="1" applyFill="1" applyBorder="1" applyAlignment="1">
      <x:alignment horizontal="center" vertical="center" wrapText="0"/>
    </x:xf>
    <x:xf numFmtId="201" fontId="29" fillId="21" borderId="21" xfId="0" applyNumberFormat="1" applyFont="1" applyFill="1" applyBorder="1" applyAlignment="1">
      <x:alignment horizontal="center" vertical="center" wrapText="0"/>
    </x:xf>
    <x:xf numFmtId="201" fontId="29" fillId="13" borderId="21" xfId="0" applyNumberFormat="1" applyFont="1" applyFill="1" applyBorder="1" applyAlignment="1">
      <x:alignment horizontal="center" vertical="center" wrapText="0"/>
    </x:xf>
    <x:xf numFmtId="201" fontId="30" fillId="13" borderId="21" xfId="0" applyNumberFormat="1" applyFont="1" applyFill="1" applyBorder="1"/>
    <x:xf numFmtId="201" fontId="26" fillId="28" borderId="21" xfId="0" applyNumberFormat="1" applyFont="1" applyFill="1" applyBorder="1" applyAlignment="1">
      <x:alignment horizontal="center" vertical="center" wrapText="0"/>
    </x:xf>
    <x:xf numFmtId="201" fontId="29" fillId="28" borderId="21" xfId="0" applyNumberFormat="1" applyFont="1" applyFill="1" applyBorder="1" applyAlignment="1">
      <x:alignment horizontal="center" vertical="center" wrapText="0"/>
    </x:xf>
    <x:xf numFmtId="201" fontId="26" fillId="29" borderId="21" xfId="0" applyNumberFormat="1" applyFont="1" applyFill="1" applyBorder="1" applyAlignment="1">
      <x:alignment horizontal="center" vertical="center" wrapText="0"/>
    </x:xf>
    <x:xf numFmtId="201" fontId="29" fillId="29" borderId="21" xfId="0" applyNumberFormat="1" applyFont="1" applyFill="1" applyBorder="1" applyAlignment="1">
      <x:alignment horizontal="center" vertical="center" wrapText="0"/>
    </x:xf>
    <x:xf numFmtId="201" fontId="26" fillId="30" borderId="21" xfId="0" applyNumberFormat="1" applyFont="1" applyFill="1" applyBorder="1" applyAlignment="1">
      <x:alignment horizontal="center" vertical="center" wrapText="0"/>
    </x:xf>
    <x:xf numFmtId="201" fontId="29" fillId="30" borderId="21" xfId="0" applyNumberFormat="1" applyFont="1" applyFill="1" applyBorder="1" applyAlignment="1">
      <x:alignment horizontal="center" vertical="center" wrapText="0"/>
    </x:xf>
    <x:xf numFmtId="201" fontId="30" fillId="28" borderId="21" xfId="0" applyNumberFormat="1" applyFont="1" applyFill="1" applyBorder="1"/>
    <x:xf numFmtId="201" fontId="26" fillId="31" borderId="21" xfId="0" applyNumberFormat="1" applyFont="1" applyFill="1" applyBorder="1" applyAlignment="1">
      <x:alignment horizontal="center" vertical="center" wrapText="0"/>
    </x:xf>
    <x:xf numFmtId="201" fontId="29" fillId="31" borderId="21" xfId="0" applyNumberFormat="1" applyFont="1" applyFill="1" applyBorder="1" applyAlignment="1">
      <x:alignment horizontal="center" vertical="center" wrapText="0"/>
    </x:xf>
    <x:xf numFmtId="201" fontId="26" fillId="32" borderId="21" xfId="0" applyNumberFormat="1" applyFont="1" applyFill="1" applyBorder="1" applyAlignment="1">
      <x:alignment horizontal="center" vertical="center" wrapText="0"/>
    </x:xf>
    <x:xf numFmtId="201" fontId="29" fillId="32" borderId="21" xfId="0" applyNumberFormat="1" applyFont="1" applyFill="1" applyBorder="1" applyAlignment="1">
      <x:alignment horizontal="center" vertical="center" wrapText="0"/>
    </x:xf>
    <x:xf numFmtId="0" fontId="22" fillId="33" borderId="5" xfId="0" applyNumberFormat="1" applyFont="1" applyFill="1" applyBorder="1" applyAlignment="1">
      <x:alignment horizontal="center" vertical="center" wrapText="0"/>
    </x:xf>
    <x:xf numFmtId="0" fontId="8" fillId="33" borderId="6" xfId="0" applyNumberFormat="1" applyFont="1" applyFill="1" applyBorder="1"/>
    <x:xf numFmtId="0" fontId="8" fillId="33" borderId="7" xfId="0" applyNumberFormat="1" applyFont="1" applyFill="1" applyBorder="1"/>
    <x:xf numFmtId="0" fontId="25" fillId="33" borderId="8" xfId="0" applyNumberFormat="1" applyFont="1" applyFill="1" applyBorder="1" applyAlignment="1">
      <x:alignment horizontal="center" vertical="center" wrapText="0"/>
    </x:xf>
    <x:xf numFmtId="201" fontId="26" fillId="33" borderId="21" xfId="0" applyNumberFormat="1" applyFont="1" applyFill="1" applyBorder="1" applyAlignment="1">
      <x:alignment horizontal="center" vertical="center" wrapText="0"/>
    </x:xf>
    <x:xf numFmtId="201" fontId="29" fillId="33" borderId="21" xfId="0" applyNumberFormat="1" applyFont="1" applyFill="1" applyBorder="1" applyAlignment="1">
      <x:alignment horizontal="center" vertical="center" wrapText="0"/>
    </x:xf>
    <x:xf numFmtId="0" fontId="33" fillId="34" borderId="9" xfId="0" applyNumberFormat="1" applyFont="1" applyFill="1" applyBorder="1" applyAlignment="1">
      <x:alignment horizontal="center" vertical="center" wrapText="1"/>
    </x:xf>
    <x:xf numFmtId="0" fontId="33" fillId="34" borderId="9" xfId="0" applyNumberFormat="1" applyFont="1" applyFill="1" applyBorder="1" applyAlignment="1">
      <x:alignment vertical="center" wrapText="1"/>
    </x:xf>
    <x:xf numFmtId="200" fontId="33" fillId="34" borderId="9" xfId="0" applyNumberFormat="1" applyFont="1" applyFill="1" applyBorder="1" applyAlignment="1">
      <x:alignment horizontal="center" vertical="center" wrapText="1"/>
    </x:xf>
    <x:xf numFmtId="202" fontId="33" fillId="34" borderId="9" xfId="0" applyNumberFormat="1" applyFont="1" applyFill="1" applyBorder="1" applyAlignment="1">
      <x:alignment horizontal="center" vertical="center" wrapText="1"/>
    </x:xf>
    <x:xf numFmtId="203" fontId="33" fillId="34" borderId="9" xfId="0" applyNumberFormat="1" applyFont="1" applyFill="1" applyBorder="1" applyAlignment="1">
      <x:alignment horizontal="center" vertical="center" wrapText="1"/>
    </x:xf>
    <x:xf numFmtId="201" fontId="26" fillId="34" borderId="21" xfId="0" applyNumberFormat="1" applyFont="1" applyFill="1" applyBorder="1" applyAlignment="1">
      <x:alignment horizontal="center" vertical="center" wrapText="0"/>
    </x:xf>
    <x:xf numFmtId="0" fontId="35" fillId="34" borderId="9" xfId="0" applyNumberFormat="1" applyFont="1" applyFill="1" applyBorder="1" applyAlignment="1">
      <x:alignment horizontal="center" vertical="center" wrapText="1"/>
    </x:xf>
    <x:xf numFmtId="0" fontId="35" fillId="34" borderId="9" xfId="0" applyNumberFormat="1" applyFont="1" applyFill="1" applyBorder="1" applyAlignment="1">
      <x:alignment vertical="center" wrapText="1"/>
    </x:xf>
    <x:xf numFmtId="200" fontId="35" fillId="34" borderId="9" xfId="0" applyNumberFormat="1" applyFont="1" applyFill="1" applyBorder="1" applyAlignment="1">
      <x:alignment horizontal="center" vertical="center" wrapText="1"/>
    </x:xf>
    <x:xf numFmtId="202" fontId="35" fillId="34" borderId="9" xfId="0" applyNumberFormat="1" applyFont="1" applyFill="1" applyBorder="1" applyAlignment="1">
      <x:alignment horizontal="center" vertical="center" wrapText="1"/>
    </x:xf>
    <x:xf numFmtId="203" fontId="35" fillId="34" borderId="9" xfId="0" applyNumberFormat="1" applyFont="1" applyFill="1" applyBorder="1" applyAlignment="1">
      <x:alignment horizontal="center" vertical="center" wrapText="1"/>
    </x:xf>
    <x:xf numFmtId="201" fontId="35" fillId="34" borderId="21" xfId="0" applyNumberFormat="1" applyFont="1" applyFill="1" applyBorder="1" applyAlignment="1">
      <x:alignment horizontal="center" vertical="center" wrapText="0"/>
    </x:xf>
    <x:xf numFmtId="0" fontId="34" fillId="34" borderId="0" xfId="0" applyNumberFormat="1" applyFont="1" applyFill="1" applyBorder="1" applyAlignment="1">
      <x:alignment horizontal="center" vertical="center" wrapText="1"/>
    </x:xf>
    <x:xf numFmtId="0" fontId="34" fillId="34" borderId="0" xfId="0" applyNumberFormat="1" applyFont="1" applyFill="1" applyBorder="1" applyAlignment="1">
      <x:alignment vertical="center" wrapText="1"/>
    </x:xf>
    <x:xf numFmtId="0" fontId="34" fillId="34" borderId="10" xfId="0" applyNumberFormat="1" applyFont="1" applyFill="1" applyBorder="1" applyAlignment="1">
      <x:alignment horizontal="center" vertical="center" wrapText="1"/>
    </x:xf>
    <x:xf numFmtId="200" fontId="34" fillId="34" borderId="0" xfId="0" applyNumberFormat="1" applyFont="1" applyFill="1" applyBorder="1" applyAlignment="1">
      <x:alignment horizontal="center" vertical="center" wrapText="1"/>
    </x:xf>
    <x:xf numFmtId="202" fontId="34" fillId="34" borderId="0" xfId="0" applyNumberFormat="1" applyFont="1" applyFill="1" applyBorder="1" applyAlignment="1">
      <x:alignment horizontal="center" vertical="center" wrapText="1"/>
    </x:xf>
    <x:xf numFmtId="203" fontId="34" fillId="34" borderId="0" xfId="0" applyNumberFormat="1" applyFont="1" applyFill="1" applyBorder="1" applyAlignment="1">
      <x:alignment horizontal="center" vertical="center" wrapText="1"/>
    </x:xf>
    <x:xf numFmtId="201" fontId="29" fillId="34" borderId="21" xfId="0" applyNumberFormat="1" applyFont="1" applyFill="1" applyBorder="1" applyAlignment="1">
      <x:alignment horizontal="center" vertical="center" wrapText="0"/>
    </x:xf>
    <x:xf numFmtId="0" fontId="36" fillId="34" borderId="0" xfId="0" applyNumberFormat="1" applyFont="1" applyFill="1" applyBorder="1" applyAlignment="1">
      <x:alignment horizontal="center" vertical="center" wrapText="1"/>
    </x:xf>
    <x:xf numFmtId="0" fontId="36" fillId="34" borderId="0" xfId="0" applyNumberFormat="1" applyFont="1" applyFill="1" applyBorder="1" applyAlignment="1">
      <x:alignment vertical="center" wrapText="1"/>
    </x:xf>
    <x:xf numFmtId="0" fontId="36" fillId="34" borderId="10" xfId="0" applyNumberFormat="1" applyFont="1" applyFill="1" applyBorder="1" applyAlignment="1">
      <x:alignment horizontal="center" vertical="center" wrapText="1"/>
    </x:xf>
    <x:xf numFmtId="200" fontId="36" fillId="34" borderId="0" xfId="0" applyNumberFormat="1" applyFont="1" applyFill="1" applyBorder="1" applyAlignment="1">
      <x:alignment horizontal="center" vertical="center" wrapText="1"/>
    </x:xf>
    <x:xf numFmtId="202" fontId="36" fillId="34" borderId="0" xfId="0" applyNumberFormat="1" applyFont="1" applyFill="1" applyBorder="1" applyAlignment="1">
      <x:alignment horizontal="center" vertical="center" wrapText="1"/>
    </x:xf>
    <x:xf numFmtId="203" fontId="36" fillId="34" borderId="0" xfId="0" applyNumberFormat="1" applyFont="1" applyFill="1" applyBorder="1" applyAlignment="1">
      <x:alignment horizontal="center" vertical="center" wrapText="1"/>
    </x:xf>
    <x:xf numFmtId="201" fontId="36" fillId="34" borderId="21" xfId="0" applyNumberFormat="1" applyFont="1" applyFill="1" applyBorder="1" applyAlignment="1">
      <x:alignment horizontal="center" vertical="center" wrapText="0"/>
    </x:xf>
    <x:xf numFmtId="0" fontId="34" fillId="34" borderId="10" xfId="0" applyNumberFormat="1" applyFont="1" applyFill="1" applyBorder="1" applyAlignment="1">
      <x:alignment vertical="center" wrapText="1"/>
    </x:xf>
    <x:xf numFmtId="200" fontId="34" fillId="34" borderId="10" xfId="0" applyNumberFormat="1" applyFont="1" applyFill="1" applyBorder="1" applyAlignment="1">
      <x:alignment horizontal="center" vertical="center" wrapText="1"/>
    </x:xf>
    <x:xf numFmtId="202" fontId="34" fillId="34" borderId="10" xfId="0" applyNumberFormat="1" applyFont="1" applyFill="1" applyBorder="1" applyAlignment="1">
      <x:alignment horizontal="center" vertical="center" wrapText="1"/>
    </x:xf>
    <x:xf numFmtId="203" fontId="34" fillId="34" borderId="10" xfId="0" applyNumberFormat="1" applyFont="1" applyFill="1" applyBorder="1" applyAlignment="1">
      <x:alignment horizontal="center" vertical="center" wrapText="1"/>
    </x:xf>
    <x:xf numFmtId="0" fontId="36" fillId="34" borderId="10" xfId="0" applyNumberFormat="1" applyFont="1" applyFill="1" applyBorder="1" applyAlignment="1">
      <x:alignment vertical="center" wrapText="1"/>
    </x:xf>
    <x:xf numFmtId="200" fontId="36" fillId="34" borderId="10" xfId="0" applyNumberFormat="1" applyFont="1" applyFill="1" applyBorder="1" applyAlignment="1">
      <x:alignment horizontal="center" vertical="center" wrapText="1"/>
    </x:xf>
    <x:xf numFmtId="202" fontId="36" fillId="34" borderId="10" xfId="0" applyNumberFormat="1" applyFont="1" applyFill="1" applyBorder="1" applyAlignment="1">
      <x:alignment horizontal="center" vertical="center" wrapText="1"/>
    </x:xf>
    <x:xf numFmtId="203" fontId="36" fillId="34" borderId="10" xfId="0" applyNumberFormat="1" applyFont="1" applyFill="1" applyBorder="1" applyAlignment="1">
      <x:alignment horizontal="center" vertical="center" wrapText="1"/>
    </x:xf>
    <x:xf numFmtId="200" fontId="34" fillId="2" borderId="10" xfId="0" applyNumberFormat="1" applyFont="1" applyFill="1" applyBorder="1" applyAlignment="1">
      <x:alignment horizontal="center" vertical="center" wrapText="1"/>
    </x:xf>
    <x:xf numFmtId="200" fontId="33" fillId="2" borderId="9" xfId="0" applyNumberFormat="1" applyFont="1" applyFill="1" applyBorder="1" applyAlignment="1">
      <x:alignment horizontal="center" vertical="center" wrapText="1"/>
    </x:xf>
    <x:xf numFmtId="203" fontId="34" fillId="2" borderId="10" xfId="0" applyNumberFormat="1" applyFont="1" applyFill="1" applyBorder="1" applyAlignment="1">
      <x:alignment horizontal="center" vertical="center" wrapText="1"/>
    </x:xf>
    <x:xf numFmtId="203" fontId="33" fillId="2" borderId="9" xfId="0" applyNumberFormat="1" applyFont="1" applyFill="1" applyBorder="1" applyAlignment="1">
      <x:alignment horizontal="center" vertical="center" wrapText="1"/>
    </x:xf>
    <x:xf numFmtId="0" fontId="34" fillId="2" borderId="10" xfId="0" applyNumberFormat="1" applyFont="1" applyFill="1" applyBorder="1" applyAlignment="1">
      <x:alignment horizontal="center" vertical="center" wrapText="1"/>
    </x:xf>
    <x:xf numFmtId="0" fontId="34" fillId="2" borderId="10" xfId="0" applyNumberFormat="1" applyFont="1" applyFill="1" applyBorder="1" applyAlignment="1">
      <x:alignment vertical="center" wrapText="1"/>
    </x:xf>
    <x:xf numFmtId="202" fontId="34" fillId="2" borderId="10" xfId="0" applyNumberFormat="1" applyFont="1" applyFill="1" applyBorder="1" applyAlignment="1">
      <x:alignment horizontal="center" vertical="center" wrapText="1"/>
    </x:xf>
    <x:xf numFmtId="0" fontId="33" fillId="2" borderId="9" xfId="0" applyNumberFormat="1" applyFont="1" applyFill="1" applyBorder="1" applyAlignment="1">
      <x:alignment horizontal="center" vertical="center" wrapText="1"/>
    </x:xf>
    <x:xf numFmtId="0" fontId="33" fillId="2" borderId="9" xfId="0" applyNumberFormat="1" applyFont="1" applyFill="1" applyBorder="1" applyAlignment="1">
      <x:alignment vertical="center" wrapText="1"/>
    </x:xf>
    <x:xf numFmtId="202" fontId="33" fillId="2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color rgb="FF666666"/>
      </x:font>
      <x:fill>
        <x:patternFill>
          <x:bgColor rgb="FFF2F2F2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006100"/>
      </x:font>
      <x:fill>
        <x:patternFill>
          <x:bgColor rgb="FF63BE7B"/>
        </x:patternFill>
      </x:fill>
    </x:dxf>
    <x:dxf>
      <x:font>
        <x:color rgb="FF5B9BD5"/>
      </x:font>
      <x:fill>
        <x:patternFill>
          <x:bgColor rgb="FF5B9B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7c32fb4a7246ec" /><Relationship Type="http://schemas.openxmlformats.org/officeDocument/2006/relationships/theme" Target="/xl/theme/theme1.xml" Id="Rc4f92f90d90a4b2b" /><Relationship Type="http://schemas.openxmlformats.org/officeDocument/2006/relationships/sharedStrings" Target="/xl/sharedStrings.xml" Id="R597929a63054476c" /><Relationship Type="http://schemas.openxmlformats.org/officeDocument/2006/relationships/worksheet" Target="/xl/worksheets/sheet1.xml" Id="Rf1d36d5fa0cb4cb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D85C6"/>
  </x:sheetPr>
  <x:sheetViews>
    <x:sheetView showGridLines="0" workbookViewId="0"/>
  </x:sheetViews>
  <x:sheetFormatPr defaultColWidth="12.630000114440918" defaultRowHeight="15"/>
  <x:cols>
    <x:col min="1" max="1" width="4.25" customWidth="1"/>
    <x:col min="2" max="2" width="11.130000114440918" customWidth="1"/>
    <x:col min="3" max="3" width="30" hidden="0" customWidth="1"/>
    <x:col min="4" max="4" width="18" hidden="0" customWidth="1"/>
    <x:col min="5" max="6" width="12.5" customWidth="1"/>
    <x:col min="7" max="7" width="11" hidden="0" customWidth="1"/>
    <x:col min="9" max="68" width="3" customWidth="1"/>
    <x:col min="69" max="69" width="3.380000114440918" customWidth="1"/>
    <x:col min="5" max="5" width="12" hidden="0" customWidth="1"/>
    <x:col min="6" max="6" width="12" hidden="0" customWidth="1"/>
    <x:col min="8" max="8" width="11" hidden="0" customWidth="1"/>
  </x:cols>
  <x:sheetData>
    <x:row r="1" ht="21" customHeight="1">
      <x:c r="A1" s="1"/>
      <x:c r="B1" s="2"/>
      <x:c r="C1" s="3"/>
      <x:c r="D1" s="3"/>
      <x:c r="E1" s="3"/>
      <x:c r="F1" s="4"/>
      <x:c r="G1" s="4"/>
      <x:c r="H1" s="3"/>
      <x:c r="I1" s="5"/>
      <x:c r="J1" s="6"/>
      <x:c r="K1" s="7"/>
      <x:c r="L1" s="8"/>
      <x:c r="M1" s="7"/>
      <x:c r="N1" s="7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9"/>
      <x:c r="AE1" s="9"/>
      <x:c r="AF1" s="9"/>
      <x:c r="AG1" s="9"/>
      <x:c r="AH1" s="9"/>
      <x:c r="AI1" s="9"/>
      <x:c r="AJ1" s="9"/>
      <x:c r="AK1" s="9"/>
      <x:c r="AL1" s="9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</x:row>
    <x:row r="2">
      <x:c r="A2" s="1"/>
      <x:c r="B2" s="10" t="s">
        <x:v>0</x:v>
      </x:c>
      <x:c r="C2" s="11"/>
      <x:c r="D2" s="11"/>
      <x:c r="E2" s="11"/>
      <x:c r="F2" s="11"/>
      <x:c r="G2" s="11"/>
      <x:c r="H2" s="12"/>
      <x:c r="I2" s="13" t="s">
        <x:v>1</x:v>
      </x:c>
      <x:c r="J2" s="11"/>
      <x:c r="K2" s="11"/>
      <x:c r="L2" s="11"/>
      <x:c r="M2" s="11"/>
      <x:c r="N2" s="11"/>
      <x:c r="O2" s="14" t="str">
        <x:v>기획서 v4 기준 · 8주 MVP 계획 (2026-07-13 ~ 2026-09-04)</x:v>
      </x:c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5"/>
      <x:c r="AI2" s="15"/>
      <x:c r="AJ2" s="15"/>
      <x:c r="AK2" s="15"/>
      <x:c r="AL2" s="15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</x:row>
    <x:row r="3" ht="21" customHeight="1">
      <x:c r="A3" s="1"/>
      <x:c r="B3" s="16"/>
      <x:c r="C3" s="16"/>
      <x:c r="D3" s="17"/>
      <x:c r="E3" s="17"/>
      <x:c r="F3" s="17"/>
      <x:c r="G3" s="17"/>
      <x:c r="H3" s="17"/>
      <x:c r="I3" s="18"/>
      <x:c r="J3" s="18"/>
      <x:c r="K3" s="18"/>
      <x:c r="L3" s="18"/>
      <x:c r="M3" s="19"/>
      <x:c r="N3" s="19"/>
      <x:c r="O3" s="19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9"/>
      <x:c r="AE3" s="9"/>
      <x:c r="AF3" s="9"/>
      <x:c r="AG3" s="9"/>
      <x:c r="AH3" s="9"/>
      <x:c r="AI3" s="9"/>
      <x:c r="AJ3" s="9"/>
      <x:c r="AK3" s="9"/>
      <x:c r="AL3" s="9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</x:row>
    <x:row r="4" ht="21" customHeight="1">
      <x:c r="A4" s="1"/>
      <x:c r="B4" s="20" t="s">
        <x:v>2</x:v>
      </x:c>
      <x:c r="C4" s="21"/>
      <x:c r="D4" s="22" t="str">
        <x:v>AI 프로젝트 운영 코파일럿 (업무 분석·인력 배정 지원)</x:v>
      </x:c>
      <x:c r="E4" s="21"/>
      <x:c r="F4" s="21"/>
      <x:c r="G4" s="21"/>
      <x:c r="H4" s="23"/>
      <x:c r="I4" s="20" t="s">
        <x:v>3</x:v>
      </x:c>
      <x:c r="J4" s="21"/>
      <x:c r="K4" s="21"/>
      <x:c r="L4" s="21"/>
      <x:c r="M4" s="21"/>
      <x:c r="N4" s="21"/>
      <x:c r="O4" s="21"/>
      <x:c r="P4" s="24" t="str">
        <x:v>SK네트웍스 Family AI 캠프 29기 · 2Team</x:v>
      </x:c>
      <x:c r="Q4" s="21"/>
      <x:c r="R4" s="21"/>
      <x:c r="S4" s="21"/>
      <x:c r="T4" s="21"/>
      <x:c r="U4" s="21"/>
      <x:c r="V4" s="21"/>
      <x:c r="W4" s="21"/>
      <x:c r="X4" s="21"/>
      <x:c r="Y4" s="21"/>
      <x:c r="Z4" s="21"/>
      <x:c r="AA4" s="21"/>
      <x:c r="AB4" s="21"/>
      <x:c r="AC4" s="25"/>
      <x:c r="AD4" s="9"/>
      <x:c r="AE4" s="9"/>
      <x:c r="AF4" s="9"/>
      <x:c r="AG4" s="9"/>
      <x:c r="AH4" s="9"/>
      <x:c r="AI4" s="9"/>
      <x:c r="AJ4" s="9"/>
      <x:c r="AK4" s="9"/>
      <x:c r="AL4" s="9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  <x:c r="BM4" s="1"/>
      <x:c r="BN4" s="1"/>
      <x:c r="BO4" s="1"/>
      <x:c r="BP4" s="1"/>
      <x:c r="BQ4" s="1"/>
    </x:row>
    <x:row r="5" ht="21" customHeight="1">
      <x:c r="A5" s="1"/>
      <x:c r="B5" s="20" t="s">
        <x:v>4</x:v>
      </x:c>
      <x:c r="C5" s="21"/>
      <x:c r="D5" s="26" t="str">
        <x:v>2Team (역할별 담당자 지정)</x:v>
      </x:c>
      <x:c r="E5" s="21"/>
      <x:c r="F5" s="21"/>
      <x:c r="G5" s="21"/>
      <x:c r="H5" s="27"/>
      <x:c r="I5" s="20" t="s">
        <x:v>5</x:v>
      </x:c>
      <x:c r="J5" s="21"/>
      <x:c r="K5" s="21"/>
      <x:c r="L5" s="21"/>
      <x:c r="M5" s="21"/>
      <x:c r="N5" s="21"/>
      <x:c r="O5" s="21"/>
      <x:c r="P5" s="102" t="n">
        <x:v>46216</x:v>
      </x:c>
      <x:c r="Q5" s="21"/>
      <x:c r="R5" s="21"/>
      <x:c r="S5" s="21"/>
      <x:c r="T5" s="21"/>
      <x:c r="U5" s="21"/>
      <x:c r="V5" s="21"/>
      <x:c r="W5" s="21"/>
      <x:c r="X5" s="21"/>
      <x:c r="Y5" s="21"/>
      <x:c r="Z5" s="21"/>
      <x:c r="AA5" s="21"/>
      <x:c r="AB5" s="29"/>
      <x:c r="AC5" s="25"/>
      <x:c r="AD5" s="1"/>
      <x:c r="AE5" s="1"/>
      <x:c r="AF5" s="1"/>
      <x:c r="AG5" s="1"/>
      <x:c r="AH5" s="1"/>
      <x:c r="AI5" s="1"/>
      <x:c r="AJ5" s="1"/>
      <x:c r="AK5" s="1"/>
      <x:c r="AL5" s="30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</x:row>
    <x:row r="6" ht="21" customHeight="1">
      <x:c r="A6" s="31"/>
      <x:c r="B6" s="32"/>
      <x:c r="C6" s="32"/>
      <x:c r="D6" s="32"/>
      <x:c r="E6" s="32"/>
      <x:c r="F6" s="32"/>
      <x:c r="G6" s="33"/>
      <x:c r="H6" s="33"/>
      <x:c r="I6" s="32"/>
      <x:c r="J6" s="32"/>
      <x:c r="K6" s="32"/>
      <x:c r="L6" s="32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  <x:c r="AA6" s="31"/>
      <x:c r="AB6" s="31"/>
      <x:c r="AC6" s="31"/>
      <x:c r="AD6" s="31"/>
      <x:c r="AE6" s="31"/>
      <x:c r="AF6" s="31"/>
      <x:c r="AG6" s="31"/>
      <x:c r="AH6" s="31"/>
      <x:c r="AI6" s="31"/>
      <x:c r="AJ6" s="31"/>
      <x:c r="AK6" s="31"/>
      <x:c r="AL6" s="31"/>
      <x:c r="AM6" s="31"/>
      <x:c r="AN6" s="31"/>
      <x:c r="AO6" s="31"/>
      <x:c r="AP6" s="31"/>
      <x:c r="AQ6" s="31"/>
      <x:c r="AR6" s="31"/>
      <x:c r="AS6" s="31"/>
      <x:c r="AT6" s="31"/>
      <x:c r="AU6" s="31"/>
      <x:c r="AV6" s="31"/>
      <x:c r="AW6" s="31"/>
      <x:c r="AX6" s="31"/>
      <x:c r="AY6" s="31"/>
      <x:c r="AZ6" s="31"/>
      <x:c r="BA6" s="31"/>
      <x:c r="BB6" s="31"/>
      <x:c r="BC6" s="31"/>
      <x:c r="BD6" s="31"/>
      <x:c r="BE6" s="31"/>
      <x:c r="BF6" s="31"/>
      <x:c r="BG6" s="31"/>
      <x:c r="BH6" s="31"/>
      <x:c r="BI6" s="31"/>
      <x:c r="BJ6" s="31"/>
      <x:c r="BK6" s="31"/>
      <x:c r="BL6" s="31"/>
      <x:c r="BM6" s="31"/>
      <x:c r="BN6" s="31"/>
      <x:c r="BO6" s="31"/>
      <x:c r="BP6" s="31"/>
      <x:c r="BQ6" s="31"/>
    </x:row>
    <x:row r="7" ht="3" customHeight="1">
      <x:c r="A7" s="31"/>
      <x:c r="B7" s="32"/>
      <x:c r="C7" s="32"/>
      <x:c r="D7" s="32"/>
      <x:c r="E7" s="32"/>
      <x:c r="F7" s="32"/>
      <x:c r="G7" s="33"/>
      <x:c r="H7" s="33"/>
      <x:c r="I7" s="131" t="n">
        <x:v>46216</x:v>
      </x:c>
      <x:c r="J7" s="131" t="n">
        <x:v>46217</x:v>
      </x:c>
      <x:c r="K7" s="131" t="n">
        <x:v>46218</x:v>
      </x:c>
      <x:c r="L7" s="131" t="n">
        <x:v>46219</x:v>
      </x:c>
      <x:c r="M7" s="132" t="n">
        <x:v>46220</x:v>
      </x:c>
      <x:c r="N7" s="132" t="n">
        <x:v>46223</x:v>
      </x:c>
      <x:c r="O7" s="132" t="n">
        <x:v>46224</x:v>
      </x:c>
      <x:c r="P7" s="132" t="n">
        <x:v>46225</x:v>
      </x:c>
      <x:c r="Q7" s="132" t="n">
        <x:v>46226</x:v>
      </x:c>
      <x:c r="R7" s="132" t="n">
        <x:v>46227</x:v>
      </x:c>
      <x:c r="S7" s="132" t="n">
        <x:v>46230</x:v>
      </x:c>
      <x:c r="T7" s="132" t="n">
        <x:v>46231</x:v>
      </x:c>
      <x:c r="U7" s="132" t="n">
        <x:v>46232</x:v>
      </x:c>
      <x:c r="V7" s="132" t="n">
        <x:v>46233</x:v>
      </x:c>
      <x:c r="W7" s="132" t="n">
        <x:v>46234</x:v>
      </x:c>
      <x:c r="X7" s="132" t="n">
        <x:v>46237</x:v>
      </x:c>
      <x:c r="Y7" s="132" t="n">
        <x:v>46238</x:v>
      </x:c>
      <x:c r="Z7" s="132" t="n">
        <x:v>46239</x:v>
      </x:c>
      <x:c r="AA7" s="132" t="n">
        <x:v>46240</x:v>
      </x:c>
      <x:c r="AB7" s="132" t="n">
        <x:v>46241</x:v>
      </x:c>
      <x:c r="AC7" s="132" t="n">
        <x:v>46244</x:v>
      </x:c>
      <x:c r="AD7" s="132" t="n">
        <x:v>46245</x:v>
      </x:c>
      <x:c r="AE7" s="132" t="n">
        <x:v>46246</x:v>
      </x:c>
      <x:c r="AF7" s="132" t="n">
        <x:v>46247</x:v>
      </x:c>
      <x:c r="AG7" s="132" t="n">
        <x:v>46248</x:v>
      </x:c>
      <x:c r="AH7" s="132" t="n">
        <x:v>46251</x:v>
      </x:c>
      <x:c r="AI7" s="132" t="n">
        <x:v>46252</x:v>
      </x:c>
      <x:c r="AJ7" s="132" t="n">
        <x:v>46253</x:v>
      </x:c>
      <x:c r="AK7" s="132" t="n">
        <x:v>46254</x:v>
      </x:c>
      <x:c r="AL7" s="132" t="n">
        <x:v>46255</x:v>
      </x:c>
      <x:c r="AM7" s="132" t="n">
        <x:v>46258</x:v>
      </x:c>
      <x:c r="AN7" s="132" t="n">
        <x:v>46259</x:v>
      </x:c>
      <x:c r="AO7" s="132" t="n">
        <x:v>46260</x:v>
      </x:c>
      <x:c r="AP7" s="132" t="n">
        <x:v>46261</x:v>
      </x:c>
      <x:c r="AQ7" s="132" t="n">
        <x:v>46262</x:v>
      </x:c>
      <x:c r="AR7" s="132" t="n">
        <x:v>46265</x:v>
      </x:c>
      <x:c r="AS7" s="132" t="n">
        <x:v>46266</x:v>
      </x:c>
      <x:c r="AT7" s="132" t="n">
        <x:v>46267</x:v>
      </x:c>
      <x:c r="AU7" s="132" t="n">
        <x:v>46268</x:v>
      </x:c>
      <x:c r="AV7" s="132" t="n">
        <x:v>46269</x:v>
      </x:c>
      <x:c r="AW7" s="132" t="n">
        <x:v>46272</x:v>
      </x:c>
      <x:c r="AX7" s="132" t="n">
        <x:v>46273</x:v>
      </x:c>
      <x:c r="AY7" s="132" t="n">
        <x:v>46274</x:v>
      </x:c>
      <x:c r="AZ7" s="132" t="n">
        <x:v>46275</x:v>
      </x:c>
      <x:c r="BA7" s="132" t="n">
        <x:v>46276</x:v>
      </x:c>
      <x:c r="BB7" s="132" t="n">
        <x:v>46279</x:v>
      </x:c>
      <x:c r="BC7" s="132" t="n">
        <x:v>46280</x:v>
      </x:c>
      <x:c r="BD7" s="132" t="n">
        <x:v>46281</x:v>
      </x:c>
      <x:c r="BE7" s="132" t="n">
        <x:v>46282</x:v>
      </x:c>
      <x:c r="BF7" s="132" t="n">
        <x:v>46283</x:v>
      </x:c>
      <x:c r="BG7" s="132" t="n">
        <x:v>46286</x:v>
      </x:c>
      <x:c r="BH7" s="132" t="n">
        <x:v>46287</x:v>
      </x:c>
      <x:c r="BI7" s="132" t="n">
        <x:v>46288</x:v>
      </x:c>
      <x:c r="BJ7" s="132" t="n">
        <x:v>46289</x:v>
      </x:c>
      <x:c r="BK7" s="132" t="n">
        <x:v>46290</x:v>
      </x:c>
      <x:c r="BL7" s="132" t="n">
        <x:v>46293</x:v>
      </x:c>
      <x:c r="BM7" s="132" t="n">
        <x:v>46294</x:v>
      </x:c>
      <x:c r="BN7" s="132" t="n">
        <x:v>46295</x:v>
      </x:c>
      <x:c r="BO7" s="132" t="n">
        <x:v>46296</x:v>
      </x:c>
      <x:c r="BP7" s="132" t="n">
        <x:v>46297</x:v>
      </x:c>
      <x:c r="BQ7" s="31"/>
    </x:row>
    <x:row r="8" ht="17.25" customHeight="1">
      <x:c r="A8" s="34"/>
      <x:c r="B8" s="35" t="s">
        <x:v>6</x:v>
      </x:c>
      <x:c r="C8" s="35" t="s">
        <x:v>7</x:v>
      </x:c>
      <x:c r="D8" s="35" t="s">
        <x:v>8</x:v>
      </x:c>
      <x:c r="E8" s="35" t="s">
        <x:v>9</x:v>
      </x:c>
      <x:c r="F8" s="35" t="s">
        <x:v>10</x:v>
      </x:c>
      <x:c r="G8" s="35" t="s">
        <x:v>11</x:v>
      </x:c>
      <x:c r="H8" s="35" t="s">
        <x:v>12</x:v>
      </x:c>
      <x:c r="I8" s="103" t="str">
        <x:v>1단계 · 기획/데이터 계약</x:v>
      </x:c>
      <x:c r="J8" s="107" t="str">
        <x:v>1단계 · 기획/기반</x:v>
      </x:c>
      <x:c r="K8" s="107" t="str">
        <x:v>1단계 · 기획/기반</x:v>
      </x:c>
      <x:c r="L8" s="107" t="str">
        <x:v>1단계 · 기획/기반</x:v>
      </x:c>
      <x:c r="M8" s="107" t="str">
        <x:v>1단계 · 기획/기반</x:v>
      </x:c>
      <x:c r="N8" s="107" t="str">
        <x:v>1단계 · 기획/기반</x:v>
      </x:c>
      <x:c r="O8" s="107" t="str">
        <x:v>1단계 · 기획/기반</x:v>
      </x:c>
      <x:c r="P8" s="107" t="str">
        <x:v>1단계 · 기획/기반</x:v>
      </x:c>
      <x:c r="Q8" s="107" t="str">
        <x:v>1단계 · 기획/기반</x:v>
      </x:c>
      <x:c r="R8" s="107" t="str">
        <x:v>1단계 · 기획/기반</x:v>
      </x:c>
      <x:c r="S8" s="112" t="str">
        <x:v>2단계 · 수집/Snapshot</x:v>
      </x:c>
      <x:c r="T8" s="112" t="str">
        <x:v>2단계 · 핵심 엔진</x:v>
      </x:c>
      <x:c r="U8" s="112" t="str">
        <x:v>2단계 · 핵심 엔진</x:v>
      </x:c>
      <x:c r="V8" s="112" t="str">
        <x:v>2단계 · 핵심 엔진</x:v>
      </x:c>
      <x:c r="W8" s="112" t="str">
        <x:v>2단계 · 핵심 엔진</x:v>
      </x:c>
      <x:c r="X8" s="109" t="str">
        <x:v>2단계 · 핵심 엔진</x:v>
      </x:c>
      <x:c r="Y8" s="112" t="str">
        <x:v>2단계 · 핵심 엔진</x:v>
      </x:c>
      <x:c r="Z8" s="112" t="str">
        <x:v>2단계 · 핵심 엔진</x:v>
      </x:c>
      <x:c r="AA8" s="112" t="str">
        <x:v>2단계 · 핵심 엔진</x:v>
      </x:c>
      <x:c r="AB8" s="112" t="str">
        <x:v>2단계 · 핵심 엔진</x:v>
      </x:c>
      <x:c r="AC8" s="116" t="str">
        <x:v>3단계 · 추천/검증</x:v>
      </x:c>
      <x:c r="AD8" s="116" t="str">
        <x:v>3단계 · 재조율/통합</x:v>
      </x:c>
      <x:c r="AE8" s="116" t="str">
        <x:v>3단계 · 재조율/통합</x:v>
      </x:c>
      <x:c r="AF8" s="116" t="str">
        <x:v>3단계 · 재조율/통합</x:v>
      </x:c>
      <x:c r="AG8" s="116" t="str">
        <x:v>3단계 · 재조율/통합</x:v>
      </x:c>
      <x:c r="AH8" s="116" t="str">
        <x:v>3단계 · 재조율/통합</x:v>
      </x:c>
      <x:c r="AI8" s="116" t="str">
        <x:v>3단계 · 재조율/통합</x:v>
      </x:c>
      <x:c r="AJ8" s="116" t="str">
        <x:v>3단계 · 재조율/통합</x:v>
      </x:c>
      <x:c r="AK8" s="116" t="str">
        <x:v>3단계 · 재조율/통합</x:v>
      </x:c>
      <x:c r="AL8" s="116" t="str">
        <x:v>3단계 · 재조율/통합</x:v>
      </x:c>
      <x:c r="AM8" s="117" t="str">
        <x:v>4단계 · 통합/평가</x:v>
      </x:c>
      <x:c r="AN8" s="121" t="str">
        <x:v>4단계 · 평가/발표</x:v>
      </x:c>
      <x:c r="AO8" s="121" t="str">
        <x:v>4단계 · 평가/발표</x:v>
      </x:c>
      <x:c r="AP8" s="121" t="str">
        <x:v>4단계 · 평가/발표</x:v>
      </x:c>
      <x:c r="AQ8" s="121" t="str">
        <x:v>4단계 · 평가/발표</x:v>
      </x:c>
      <x:c r="AR8" s="121" t="str">
        <x:v>4단계 · 평가/발표</x:v>
      </x:c>
      <x:c r="AS8" s="121" t="str">
        <x:v>4단계 · 평가/발표</x:v>
      </x:c>
      <x:c r="AT8" s="121" t="str">
        <x:v>4단계 · 평가/발표</x:v>
      </x:c>
      <x:c r="AU8" s="121" t="str">
        <x:v>4단계 · 평가/발표</x:v>
      </x:c>
      <x:c r="AV8" s="121" t="str">
        <x:v>4단계 · 평가/발표</x:v>
      </x:c>
      <x:c r="AW8" s="129" t="str">
        <x:v>예비 버퍼</x:v>
      </x:c>
      <x:c r="AX8" s="129" t="str">
        <x:v>예비 버퍼</x:v>
      </x:c>
      <x:c r="AY8" s="129" t="str">
        <x:v>예비 버퍼</x:v>
      </x:c>
      <x:c r="AZ8" s="129" t="str">
        <x:v>예비 버퍼</x:v>
      </x:c>
      <x:c r="BA8" s="129" t="str">
        <x:v>예비 버퍼</x:v>
      </x:c>
      <x:c r="BB8" s="123" t="str">
        <x:v>예비 버퍼</x:v>
      </x:c>
      <x:c r="BC8" s="129" t="str">
        <x:v>예비 버퍼</x:v>
      </x:c>
      <x:c r="BD8" s="129" t="str">
        <x:v>예비 버퍼</x:v>
      </x:c>
      <x:c r="BE8" s="129" t="str">
        <x:v>예비 버퍼</x:v>
      </x:c>
      <x:c r="BF8" s="129" t="str">
        <x:v>예비 버퍼</x:v>
      </x:c>
      <x:c r="BG8" s="129" t="str">
        <x:v>예비 버퍼</x:v>
      </x:c>
      <x:c r="BH8" s="129" t="str">
        <x:v>예비 버퍼</x:v>
      </x:c>
      <x:c r="BI8" s="129" t="str">
        <x:v>예비 버퍼</x:v>
      </x:c>
      <x:c r="BJ8" s="129" t="str">
        <x:v>예비 버퍼</x:v>
      </x:c>
      <x:c r="BK8" s="129" t="str">
        <x:v>예비 버퍼</x:v>
      </x:c>
      <x:c r="BL8" s="129" t="str">
        <x:v>예비 버퍼</x:v>
      </x:c>
      <x:c r="BM8" s="129" t="str">
        <x:v>예비 버퍼</x:v>
      </x:c>
      <x:c r="BN8" s="129" t="str">
        <x:v>예비 버퍼</x:v>
      </x:c>
      <x:c r="BO8" s="129" t="str">
        <x:v>예비 버퍼</x:v>
      </x:c>
      <x:c r="BP8" s="130" t="str">
        <x:v>예비 버퍼</x:v>
      </x:c>
      <x:c r="BQ8" s="31"/>
    </x:row>
    <x:row r="9" ht="17.25" customHeight="1">
      <x:c r="A9" s="41"/>
      <x:c r="I9" s="42" t="str">
        <x:v>1주</x:v>
      </x:c>
      <x:c r="J9" s="43" t="str">
        <x:v>1주</x:v>
      </x:c>
      <x:c r="K9" s="43" t="str">
        <x:v>1주</x:v>
      </x:c>
      <x:c r="L9" s="43" t="str">
        <x:v>1주</x:v>
      </x:c>
      <x:c r="M9" s="44" t="str">
        <x:v>1주</x:v>
      </x:c>
      <x:c r="N9" s="42" t="str">
        <x:v>2주</x:v>
      </x:c>
      <x:c r="O9" s="43" t="str">
        <x:v>2주</x:v>
      </x:c>
      <x:c r="P9" s="43" t="str">
        <x:v>2주</x:v>
      </x:c>
      <x:c r="Q9" s="43" t="str">
        <x:v>2주</x:v>
      </x:c>
      <x:c r="R9" s="44" t="str">
        <x:v>2주</x:v>
      </x:c>
      <x:c r="S9" s="42" t="str">
        <x:v>3주</x:v>
      </x:c>
      <x:c r="T9" s="43" t="str">
        <x:v>3주</x:v>
      </x:c>
      <x:c r="U9" s="43" t="str">
        <x:v>3주</x:v>
      </x:c>
      <x:c r="V9" s="43" t="str">
        <x:v>3주</x:v>
      </x:c>
      <x:c r="W9" s="44" t="str">
        <x:v>3주</x:v>
      </x:c>
      <x:c r="X9" s="45" t="str">
        <x:v>4주</x:v>
      </x:c>
      <x:c r="Y9" s="43" t="str">
        <x:v>4주</x:v>
      </x:c>
      <x:c r="Z9" s="43" t="str">
        <x:v>4주</x:v>
      </x:c>
      <x:c r="AA9" s="43" t="str">
        <x:v>4주</x:v>
      </x:c>
      <x:c r="AB9" s="44" t="str">
        <x:v>4주</x:v>
      </x:c>
      <x:c r="AC9" s="45" t="str">
        <x:v>5주</x:v>
      </x:c>
      <x:c r="AD9" s="43" t="str">
        <x:v>5주</x:v>
      </x:c>
      <x:c r="AE9" s="43" t="str">
        <x:v>5주</x:v>
      </x:c>
      <x:c r="AF9" s="43" t="str">
        <x:v>5주</x:v>
      </x:c>
      <x:c r="AG9" s="44" t="str">
        <x:v>5주</x:v>
      </x:c>
      <x:c r="AH9" s="45" t="str">
        <x:v>6주</x:v>
      </x:c>
      <x:c r="AI9" s="43" t="str">
        <x:v>6주</x:v>
      </x:c>
      <x:c r="AJ9" s="43" t="str">
        <x:v>6주</x:v>
      </x:c>
      <x:c r="AK9" s="43" t="str">
        <x:v>6주</x:v>
      </x:c>
      <x:c r="AL9" s="44" t="str">
        <x:v>6주</x:v>
      </x:c>
      <x:c r="AM9" s="46" t="str">
        <x:v>7주</x:v>
      </x:c>
      <x:c r="AN9" s="43" t="str">
        <x:v>7주</x:v>
      </x:c>
      <x:c r="AO9" s="43" t="str">
        <x:v>7주</x:v>
      </x:c>
      <x:c r="AP9" s="43" t="str">
        <x:v>7주</x:v>
      </x:c>
      <x:c r="AQ9" s="44" t="str">
        <x:v>7주</x:v>
      </x:c>
      <x:c r="AR9" s="46" t="str">
        <x:v>8주</x:v>
      </x:c>
      <x:c r="AS9" s="43" t="str">
        <x:v>8주</x:v>
      </x:c>
      <x:c r="AT9" s="43" t="str">
        <x:v>8주</x:v>
      </x:c>
      <x:c r="AU9" s="43" t="str">
        <x:v>8주</x:v>
      </x:c>
      <x:c r="AV9" s="44" t="str">
        <x:v>8주</x:v>
      </x:c>
      <x:c r="AW9" s="239" t="str">
        <x:v>예비 1주</x:v>
      </x:c>
      <x:c r="AX9" s="240" t="str">
        <x:v>예비 1주</x:v>
      </x:c>
      <x:c r="AY9" s="240" t="str">
        <x:v>예비 1주</x:v>
      </x:c>
      <x:c r="AZ9" s="240" t="str">
        <x:v>예비 1주</x:v>
      </x:c>
      <x:c r="BA9" s="241" t="str">
        <x:v>예비 1주</x:v>
      </x:c>
      <x:c r="BB9" s="239" t="str">
        <x:v>예비 2주</x:v>
      </x:c>
      <x:c r="BC9" s="240" t="str">
        <x:v>예비 2주</x:v>
      </x:c>
      <x:c r="BD9" s="240" t="str">
        <x:v>예비 2주</x:v>
      </x:c>
      <x:c r="BE9" s="240" t="str">
        <x:v>예비 2주</x:v>
      </x:c>
      <x:c r="BF9" s="241" t="str">
        <x:v>예비 2주</x:v>
      </x:c>
      <x:c r="BG9" s="239" t="str">
        <x:v>예비 3주</x:v>
      </x:c>
      <x:c r="BH9" s="240" t="str">
        <x:v>예비 3주</x:v>
      </x:c>
      <x:c r="BI9" s="240" t="str">
        <x:v>예비 3주</x:v>
      </x:c>
      <x:c r="BJ9" s="240" t="str">
        <x:v>예비 3주</x:v>
      </x:c>
      <x:c r="BK9" s="241" t="str">
        <x:v>예비 3주</x:v>
      </x:c>
      <x:c r="BL9" s="239" t="str">
        <x:v>예비 4주</x:v>
      </x:c>
      <x:c r="BM9" s="240" t="str">
        <x:v>예비 4주</x:v>
      </x:c>
      <x:c r="BN9" s="240" t="str">
        <x:v>예비 4주</x:v>
      </x:c>
      <x:c r="BO9" s="240" t="str">
        <x:v>예비 4주</x:v>
      </x:c>
      <x:c r="BP9" s="241" t="str">
        <x:v>예비 4주</x:v>
      </x:c>
      <x:c r="BQ9" s="41"/>
    </x:row>
    <x:row r="10" ht="17.25" customHeight="1">
      <x:c r="A10" s="48"/>
      <x:c r="I10" s="133" t="str">
        <x:v>월</x:v>
      </x:c>
      <x:c r="J10" s="133" t="str">
        <x:v>화</x:v>
      </x:c>
      <x:c r="K10" s="133" t="str">
        <x:v>수</x:v>
      </x:c>
      <x:c r="L10" s="133" t="str">
        <x:v>목</x:v>
      </x:c>
      <x:c r="M10" s="133" t="str">
        <x:v>금</x:v>
      </x:c>
      <x:c r="N10" s="133" t="str">
        <x:v>월</x:v>
      </x:c>
      <x:c r="O10" s="133" t="str">
        <x:v>화</x:v>
      </x:c>
      <x:c r="P10" s="133" t="str">
        <x:v>수</x:v>
      </x:c>
      <x:c r="Q10" s="133" t="str">
        <x:v>목</x:v>
      </x:c>
      <x:c r="R10" s="133" t="str">
        <x:v>금</x:v>
      </x:c>
      <x:c r="S10" s="133" t="str">
        <x:v>월</x:v>
      </x:c>
      <x:c r="T10" s="133" t="str">
        <x:v>화</x:v>
      </x:c>
      <x:c r="U10" s="133" t="str">
        <x:v>수</x:v>
      </x:c>
      <x:c r="V10" s="133" t="str">
        <x:v>목</x:v>
      </x:c>
      <x:c r="W10" s="133" t="str">
        <x:v>금</x:v>
      </x:c>
      <x:c r="X10" s="134" t="str">
        <x:v>월</x:v>
      </x:c>
      <x:c r="Y10" s="134" t="str">
        <x:v>화</x:v>
      </x:c>
      <x:c r="Z10" s="134" t="str">
        <x:v>수</x:v>
      </x:c>
      <x:c r="AA10" s="134" t="str">
        <x:v>목</x:v>
      </x:c>
      <x:c r="AB10" s="134" t="str">
        <x:v>금</x:v>
      </x:c>
      <x:c r="AC10" s="134" t="str">
        <x:v>월</x:v>
      </x:c>
      <x:c r="AD10" s="134" t="str">
        <x:v>화</x:v>
      </x:c>
      <x:c r="AE10" s="134" t="str">
        <x:v>수</x:v>
      </x:c>
      <x:c r="AF10" s="134" t="str">
        <x:v>목</x:v>
      </x:c>
      <x:c r="AG10" s="134" t="str">
        <x:v>금</x:v>
      </x:c>
      <x:c r="AH10" s="134" t="str">
        <x:v>월</x:v>
      </x:c>
      <x:c r="AI10" s="134" t="str">
        <x:v>화</x:v>
      </x:c>
      <x:c r="AJ10" s="134" t="str">
        <x:v>수</x:v>
      </x:c>
      <x:c r="AK10" s="134" t="str">
        <x:v>목</x:v>
      </x:c>
      <x:c r="AL10" s="134" t="str">
        <x:v>금</x:v>
      </x:c>
      <x:c r="AM10" s="135" t="str">
        <x:v>월</x:v>
      </x:c>
      <x:c r="AN10" s="135" t="str">
        <x:v>화</x:v>
      </x:c>
      <x:c r="AO10" s="135" t="str">
        <x:v>수</x:v>
      </x:c>
      <x:c r="AP10" s="135" t="str">
        <x:v>목</x:v>
      </x:c>
      <x:c r="AQ10" s="135" t="str">
        <x:v>금</x:v>
      </x:c>
      <x:c r="AR10" s="135" t="str">
        <x:v>월</x:v>
      </x:c>
      <x:c r="AS10" s="135" t="str">
        <x:v>화</x:v>
      </x:c>
      <x:c r="AT10" s="135" t="str">
        <x:v>수</x:v>
      </x:c>
      <x:c r="AU10" s="135" t="str">
        <x:v>목</x:v>
      </x:c>
      <x:c r="AV10" s="135" t="str">
        <x:v>금</x:v>
      </x:c>
      <x:c r="AW10" s="242" t="str">
        <x:v>월</x:v>
      </x:c>
      <x:c r="AX10" s="242" t="str">
        <x:v>화</x:v>
      </x:c>
      <x:c r="AY10" s="242" t="str">
        <x:v>수</x:v>
      </x:c>
      <x:c r="AZ10" s="242" t="str">
        <x:v>목</x:v>
      </x:c>
      <x:c r="BA10" s="242" t="str">
        <x:v>금</x:v>
      </x:c>
      <x:c r="BB10" s="242" t="str">
        <x:v>월</x:v>
      </x:c>
      <x:c r="BC10" s="242" t="str">
        <x:v>화</x:v>
      </x:c>
      <x:c r="BD10" s="242" t="str">
        <x:v>수</x:v>
      </x:c>
      <x:c r="BE10" s="242" t="str">
        <x:v>목</x:v>
      </x:c>
      <x:c r="BF10" s="242" t="str">
        <x:v>금</x:v>
      </x:c>
      <x:c r="BG10" s="242" t="str">
        <x:v>월</x:v>
      </x:c>
      <x:c r="BH10" s="242" t="str">
        <x:v>화</x:v>
      </x:c>
      <x:c r="BI10" s="242" t="str">
        <x:v>수</x:v>
      </x:c>
      <x:c r="BJ10" s="242" t="str">
        <x:v>목</x:v>
      </x:c>
      <x:c r="BK10" s="242" t="str">
        <x:v>금</x:v>
      </x:c>
      <x:c r="BL10" s="242" t="str">
        <x:v>월</x:v>
      </x:c>
      <x:c r="BM10" s="242" t="str">
        <x:v>화</x:v>
      </x:c>
      <x:c r="BN10" s="242" t="str">
        <x:v>수</x:v>
      </x:c>
      <x:c r="BO10" s="242" t="str">
        <x:v>목</x:v>
      </x:c>
      <x:c r="BP10" s="242" t="str">
        <x:v>금</x:v>
      </x:c>
      <x:c r="BQ10" s="48"/>
    </x:row>
    <x:row r="11" ht="27" customHeight="1">
      <x:c r="A11" s="31"/>
      <x:c r="B11" s="251" t="str">
        <x:v>1</x:v>
      </x:c>
      <x:c r="C11" s="252" t="str">
        <x:v>기획·아키텍처 및 데이터 계약 확정</x:v>
      </x:c>
      <x:c r="D11" s="251"/>
      <x:c r="E11" s="253"/>
      <x:c r="F11" s="253"/>
      <x:c r="G11" s="254"/>
      <x:c r="H11" s="255"/>
      <x:c r="I11" s="256"/>
      <x:c r="J11" s="256"/>
      <x:c r="K11" s="256"/>
      <x:c r="L11" s="256"/>
      <x:c r="M11" s="256"/>
      <x:c r="N11" s="256"/>
      <x:c r="O11" s="256"/>
      <x:c r="P11" s="256"/>
      <x:c r="Q11" s="256"/>
      <x:c r="R11" s="256"/>
      <x:c r="S11" s="256"/>
      <x:c r="T11" s="256"/>
      <x:c r="U11" s="256"/>
      <x:c r="V11" s="256"/>
      <x:c r="W11" s="256"/>
      <x:c r="X11" s="256"/>
      <x:c r="Y11" s="256"/>
      <x:c r="Z11" s="256"/>
      <x:c r="AA11" s="256"/>
      <x:c r="AB11" s="256"/>
      <x:c r="AC11" s="256"/>
      <x:c r="AD11" s="256"/>
      <x:c r="AE11" s="256"/>
      <x:c r="AF11" s="256"/>
      <x:c r="AG11" s="256"/>
      <x:c r="AH11" s="256"/>
      <x:c r="AI11" s="256"/>
      <x:c r="AJ11" s="256"/>
      <x:c r="AK11" s="256"/>
      <x:c r="AL11" s="256"/>
      <x:c r="AM11" s="256"/>
      <x:c r="AN11" s="256"/>
      <x:c r="AO11" s="256"/>
      <x:c r="AP11" s="256"/>
      <x:c r="AQ11" s="256"/>
      <x:c r="AR11" s="256"/>
      <x:c r="AS11" s="256"/>
      <x:c r="AT11" s="256"/>
      <x:c r="AU11" s="256"/>
      <x:c r="AV11" s="256"/>
      <x:c r="AW11" s="256"/>
      <x:c r="AX11" s="256"/>
      <x:c r="AY11" s="256"/>
      <x:c r="AZ11" s="256"/>
      <x:c r="BA11" s="256"/>
      <x:c r="BB11" s="256"/>
      <x:c r="BC11" s="256"/>
      <x:c r="BD11" s="256"/>
      <x:c r="BE11" s="256"/>
      <x:c r="BF11" s="256"/>
      <x:c r="BG11" s="256"/>
      <x:c r="BH11" s="256"/>
      <x:c r="BI11" s="256"/>
      <x:c r="BJ11" s="256"/>
      <x:c r="BK11" s="256"/>
      <x:c r="BL11" s="256"/>
      <x:c r="BM11" s="256"/>
      <x:c r="BN11" s="256"/>
      <x:c r="BO11" s="256"/>
      <x:c r="BP11" s="256"/>
      <x:c r="BQ11" s="31"/>
    </x:row>
    <x:row r="12" ht="36" customHeight="1">
      <x:c r="A12" s="59"/>
      <x:c r="B12" s="283" t="str">
        <x:v>1.1</x:v>
      </x:c>
      <x:c r="C12" s="284" t="str">
        <x:v>문제 정의·제품 범위·8/6 종단 시나리오 확정</x:v>
      </x:c>
      <x:c r="D12" s="283" t="str">
        <x:v>전원</x:v>
      </x:c>
      <x:c r="E12" s="279" t="n">
        <x:v>46216</x:v>
      </x:c>
      <x:c r="F12" s="279" t="n">
        <x:v>46220</x:v>
      </x:c>
      <x:c r="G12" s="285" t="n">
        <x:f t="shared" ref="G12:G18" si="1">IF(OR(E12="",F12=""),"",F12-E12+1)</x:f>
        <x:v>5</x:v>
      </x:c>
      <x:c r="H12" s="281" t="n">
        <x:v>0</x:v>
      </x:c>
      <x:c r="I12" s="229" t="n">
        <x:f>IF(AND(I$7&gt;=$E12,I$7&lt;=$F12),1,"")</x:f>
        <x:v>1</x:v>
      </x:c>
      <x:c r="J12" s="229" t="n">
        <x:f>IF(AND(J$7&gt;=$E12,J$7&lt;=$F12),1,"")</x:f>
        <x:v>1</x:v>
      </x:c>
      <x:c r="K12" s="229" t="n">
        <x:f>IF(AND(K$7&gt;=$E12,K$7&lt;=$F12),1,"")</x:f>
        <x:v>1</x:v>
      </x:c>
      <x:c r="L12" s="229" t="n">
        <x:f>IF(AND(L$7&gt;=$E12,L$7&lt;=$F12),1,"")</x:f>
        <x:v>1</x:v>
      </x:c>
      <x:c r="M12" s="229" t="n">
        <x:f>IF(AND(M$7&gt;=$E12,M$7&lt;=$F12),1,"")</x:f>
        <x:v>1</x:v>
      </x:c>
      <x:c r="N12" s="231" t="str">
        <x:f>IF(AND(N$7&gt;=$E12,N$7&lt;=$F12),1,"")</x:f>
      </x:c>
      <x:c r="O12" s="231" t="str">
        <x:f>IF(AND(O$7&gt;=$E12,O$7&lt;=$F12),1,"")</x:f>
      </x:c>
      <x:c r="P12" s="231" t="str">
        <x:f>IF(AND(P$7&gt;=$E12,P$7&lt;=$F12),1,"")</x:f>
      </x:c>
      <x:c r="Q12" s="231" t="str">
        <x:f>IF(AND(Q$7&gt;=$E12,Q$7&lt;=$F12),1,"")</x:f>
      </x:c>
      <x:c r="R12" s="231" t="str">
        <x:f>IF(AND(R$7&gt;=$E12,R$7&lt;=$F12),1,"")</x:f>
      </x:c>
      <x:c r="S12" s="229" t="str">
        <x:f>IF(AND(S$7&gt;=$E12,S$7&lt;=$F12),1,"")</x:f>
      </x:c>
      <x:c r="T12" s="229" t="str">
        <x:f>IF(AND(T$7&gt;=$E12,T$7&lt;=$F12),1,"")</x:f>
      </x:c>
      <x:c r="U12" s="229" t="str">
        <x:f>IF(AND(U$7&gt;=$E12,U$7&lt;=$F12),1,"")</x:f>
      </x:c>
      <x:c r="V12" s="229" t="str">
        <x:f>IF(AND(V$7&gt;=$E12,V$7&lt;=$F12),1,"")</x:f>
      </x:c>
      <x:c r="W12" s="229" t="str">
        <x:f>IF(AND(W$7&gt;=$E12,W$7&lt;=$F12),1,"")</x:f>
      </x:c>
      <x:c r="X12" s="233" t="str">
        <x:f>IF(AND(X$7&gt;=$E12,X$7&lt;=$F12),1,"")</x:f>
      </x:c>
      <x:c r="Y12" s="233" t="str">
        <x:f>IF(AND(Y$7&gt;=$E12,Y$7&lt;=$F12),1,"")</x:f>
      </x:c>
      <x:c r="Z12" s="233" t="str">
        <x:f>IF(AND(Z$7&gt;=$E12,Z$7&lt;=$F12),1,"")</x:f>
      </x:c>
      <x:c r="AA12" s="233" t="str">
        <x:f>IF(AND(AA$7&gt;=$E12,AA$7&lt;=$F12),1,"")</x:f>
      </x:c>
      <x:c r="AB12" s="233" t="str">
        <x:f>IF(AND(AB$7&gt;=$E12,AB$7&lt;=$F12),1,"")</x:f>
      </x:c>
      <x:c r="AC12" s="229" t="str">
        <x:f>IF(AND(AC$7&gt;=$E12,AC$7&lt;=$F12),1,"")</x:f>
      </x:c>
      <x:c r="AD12" s="229" t="str">
        <x:f>IF(AND(AD$7&gt;=$E12,AD$7&lt;=$F12),1,"")</x:f>
      </x:c>
      <x:c r="AE12" s="229" t="str">
        <x:f>IF(AND(AE$7&gt;=$E12,AE$7&lt;=$F12),1,"")</x:f>
      </x:c>
      <x:c r="AF12" s="229" t="str">
        <x:f>IF(AND(AF$7&gt;=$E12,AF$7&lt;=$F12),1,"")</x:f>
      </x:c>
      <x:c r="AG12" s="229" t="str">
        <x:f>IF(AND(AG$7&gt;=$E12,AG$7&lt;=$F12),1,"")</x:f>
      </x:c>
      <x:c r="AH12" s="236" t="str">
        <x:f>IF(AND(AH$7&gt;=$E12,AH$7&lt;=$F12),1,"")</x:f>
      </x:c>
      <x:c r="AI12" s="236" t="str">
        <x:f>IF(AND(AI$7&gt;=$E12,AI$7&lt;=$F12),1,"")</x:f>
      </x:c>
      <x:c r="AJ12" s="236" t="str">
        <x:f>IF(AND(AJ$7&gt;=$E12,AJ$7&lt;=$F12),1,"")</x:f>
      </x:c>
      <x:c r="AK12" s="236" t="str">
        <x:f>IF(AND(AK$7&gt;=$E12,AK$7&lt;=$F12),1,"")</x:f>
      </x:c>
      <x:c r="AL12" s="236" t="str">
        <x:f>IF(AND(AL$7&gt;=$E12,AL$7&lt;=$F12),1,"")</x:f>
      </x:c>
      <x:c r="AM12" s="229" t="str">
        <x:f>IF(AND(AM$7&gt;=$E12,AM$7&lt;=$F12),1,"")</x:f>
      </x:c>
      <x:c r="AN12" s="229" t="str">
        <x:f>IF(AND(AN$7&gt;=$E12,AN$7&lt;=$F12),1,"")</x:f>
      </x:c>
      <x:c r="AO12" s="229" t="str">
        <x:f>IF(AND(AO$7&gt;=$E12,AO$7&lt;=$F12),1,"")</x:f>
      </x:c>
      <x:c r="AP12" s="229" t="str">
        <x:f>IF(AND(AP$7&gt;=$E12,AP$7&lt;=$F12),1,"")</x:f>
      </x:c>
      <x:c r="AQ12" s="229" t="str">
        <x:f>IF(AND(AQ$7&gt;=$E12,AQ$7&lt;=$F12),1,"")</x:f>
      </x:c>
      <x:c r="AR12" s="238" t="str">
        <x:f>IF(AND(AR$7&gt;=$E12,AR$7&lt;=$F12),1,"")</x:f>
      </x:c>
      <x:c r="AS12" s="238" t="str">
        <x:f>IF(AND(AS$7&gt;=$E12,AS$7&lt;=$F12),1,"")</x:f>
      </x:c>
      <x:c r="AT12" s="238" t="str">
        <x:f>IF(AND(AT$7&gt;=$E12,AT$7&lt;=$F12),1,"")</x:f>
      </x:c>
      <x:c r="AU12" s="238" t="str">
        <x:f>IF(AND(AU$7&gt;=$E12,AU$7&lt;=$F12),1,"")</x:f>
      </x:c>
      <x:c r="AV12" s="238" t="str">
        <x:f>IF(AND(AV$7&gt;=$E12,AV$7&lt;=$F12),1,"")</x:f>
      </x:c>
      <x:c r="AW12" s="244" t="str">
        <x:f>IF(AND(AW$7&gt;=$E12,AW$7&lt;=$F12),1,"")</x:f>
      </x:c>
      <x:c r="AX12" s="244" t="str">
        <x:f>IF(AND(AX$7&gt;=$E12,AX$7&lt;=$F12),1,"")</x:f>
      </x:c>
      <x:c r="AY12" s="244" t="str">
        <x:f>IF(AND(AY$7&gt;=$E12,AY$7&lt;=$F12),1,"")</x:f>
      </x:c>
      <x:c r="AZ12" s="244" t="str">
        <x:f>IF(AND(AZ$7&gt;=$E12,AZ$7&lt;=$F12),1,"")</x:f>
      </x:c>
      <x:c r="BA12" s="244" t="str">
        <x:f>IF(AND(BA$7&gt;=$E12,BA$7&lt;=$F12),1,"")</x:f>
      </x:c>
      <x:c r="BB12" s="244" t="str">
        <x:f>IF(AND(BB$7&gt;=$E12,BB$7&lt;=$F12),1,"")</x:f>
      </x:c>
      <x:c r="BC12" s="244" t="str">
        <x:f>IF(AND(BC$7&gt;=$E12,BC$7&lt;=$F12),1,"")</x:f>
      </x:c>
      <x:c r="BD12" s="244" t="str">
        <x:f>IF(AND(BD$7&gt;=$E12,BD$7&lt;=$F12),1,"")</x:f>
      </x:c>
      <x:c r="BE12" s="244" t="str">
        <x:f>IF(AND(BE$7&gt;=$E12,BE$7&lt;=$F12),1,"")</x:f>
      </x:c>
      <x:c r="BF12" s="244" t="str">
        <x:f>IF(AND(BF$7&gt;=$E12,BF$7&lt;=$F12),1,"")</x:f>
      </x:c>
      <x:c r="BG12" s="244" t="str">
        <x:f>IF(AND(BG$7&gt;=$E12,BG$7&lt;=$F12),1,"")</x:f>
      </x:c>
      <x:c r="BH12" s="244" t="str">
        <x:f>IF(AND(BH$7&gt;=$E12,BH$7&lt;=$F12),1,"")</x:f>
      </x:c>
      <x:c r="BI12" s="244" t="str">
        <x:f>IF(AND(BI$7&gt;=$E12,BI$7&lt;=$F12),1,"")</x:f>
      </x:c>
      <x:c r="BJ12" s="244" t="str">
        <x:f>IF(AND(BJ$7&gt;=$E12,BJ$7&lt;=$F12),1,"")</x:f>
      </x:c>
      <x:c r="BK12" s="244" t="str">
        <x:f>IF(AND(BK$7&gt;=$E12,BK$7&lt;=$F12),1,"")</x:f>
      </x:c>
      <x:c r="BL12" s="244" t="str">
        <x:f>IF(AND(BL$7&gt;=$E12,BL$7&lt;=$F12),1,"")</x:f>
      </x:c>
      <x:c r="BM12" s="244" t="str">
        <x:f>IF(AND(BM$7&gt;=$E12,BM$7&lt;=$F12),1,"")</x:f>
      </x:c>
      <x:c r="BN12" s="244" t="str">
        <x:f>IF(AND(BN$7&gt;=$E12,BN$7&lt;=$F12),1,"")</x:f>
      </x:c>
      <x:c r="BO12" s="244" t="str">
        <x:f>IF(AND(BO$7&gt;=$E12,BO$7&lt;=$F12),1,"")</x:f>
      </x:c>
      <x:c r="BP12" s="244" t="str">
        <x:f>IF(AND(BP$7&gt;=$E12,BP$7&lt;=$F12),1,"")</x:f>
      </x:c>
      <x:c r="BQ12" s="59"/>
    </x:row>
    <x:row r="13" ht="36" customHeight="1">
      <x:c r="A13" s="59"/>
      <x:c r="B13" s="283" t="str">
        <x:v>1.2</x:v>
      </x:c>
      <x:c r="C13" s="284" t="str">
        <x:v>아키텍처 레이어·Orchestrator 전체 흐름 설계</x:v>
      </x:c>
      <x:c r="D13" s="283" t="str">
        <x:v>PM·기획</x:v>
      </x:c>
      <x:c r="E13" s="279" t="n">
        <x:v>46216</x:v>
      </x:c>
      <x:c r="F13" s="279" t="n">
        <x:v>46225</x:v>
      </x:c>
      <x:c r="G13" s="285" t="n">
        <x:f t="shared" si="1">IF(OR(E13="",F13=""),"",F13-E13+1)</x:f>
        <x:v>10</x:v>
      </x:c>
      <x:c r="H13" s="281" t="n">
        <x:v>0</x:v>
      </x:c>
      <x:c r="I13" s="229" t="n">
        <x:f>IF(AND(I$7&gt;=$E13,I$7&lt;=$F13),1,"")</x:f>
        <x:v>1</x:v>
      </x:c>
      <x:c r="J13" s="229" t="n">
        <x:f>IF(AND(J$7&gt;=$E13,J$7&lt;=$F13),1,"")</x:f>
        <x:v>1</x:v>
      </x:c>
      <x:c r="K13" s="229" t="n">
        <x:f>IF(AND(K$7&gt;=$E13,K$7&lt;=$F13),1,"")</x:f>
        <x:v>1</x:v>
      </x:c>
      <x:c r="L13" s="229" t="n">
        <x:f>IF(AND(L$7&gt;=$E13,L$7&lt;=$F13),1,"")</x:f>
        <x:v>1</x:v>
      </x:c>
      <x:c r="M13" s="229" t="n">
        <x:f>IF(AND(M$7&gt;=$E13,M$7&lt;=$F13),1,"")</x:f>
        <x:v>1</x:v>
      </x:c>
      <x:c r="N13" s="231" t="n">
        <x:f>IF(AND(N$7&gt;=$E13,N$7&lt;=$F13),1,"")</x:f>
        <x:v>1</x:v>
      </x:c>
      <x:c r="O13" s="231" t="n">
        <x:f>IF(AND(O$7&gt;=$E13,O$7&lt;=$F13),1,"")</x:f>
        <x:v>1</x:v>
      </x:c>
      <x:c r="P13" s="231" t="n">
        <x:f>IF(AND(P$7&gt;=$E13,P$7&lt;=$F13),1,"")</x:f>
        <x:v>1</x:v>
      </x:c>
      <x:c r="Q13" s="231" t="str">
        <x:f>IF(AND(Q$7&gt;=$E13,Q$7&lt;=$F13),1,"")</x:f>
      </x:c>
      <x:c r="R13" s="231" t="str">
        <x:f>IF(AND(R$7&gt;=$E13,R$7&lt;=$F13),1,"")</x:f>
      </x:c>
      <x:c r="S13" s="229" t="str">
        <x:f>IF(AND(S$7&gt;=$E13,S$7&lt;=$F13),1,"")</x:f>
      </x:c>
      <x:c r="T13" s="229" t="str">
        <x:f>IF(AND(T$7&gt;=$E13,T$7&lt;=$F13),1,"")</x:f>
      </x:c>
      <x:c r="U13" s="229" t="str">
        <x:f>IF(AND(U$7&gt;=$E13,U$7&lt;=$F13),1,"")</x:f>
      </x:c>
      <x:c r="V13" s="229" t="str">
        <x:f>IF(AND(V$7&gt;=$E13,V$7&lt;=$F13),1,"")</x:f>
      </x:c>
      <x:c r="W13" s="229" t="str">
        <x:f>IF(AND(W$7&gt;=$E13,W$7&lt;=$F13),1,"")</x:f>
      </x:c>
      <x:c r="X13" s="233" t="str">
        <x:f>IF(AND(X$7&gt;=$E13,X$7&lt;=$F13),1,"")</x:f>
      </x:c>
      <x:c r="Y13" s="233" t="str">
        <x:f>IF(AND(Y$7&gt;=$E13,Y$7&lt;=$F13),1,"")</x:f>
      </x:c>
      <x:c r="Z13" s="233" t="str">
        <x:f>IF(AND(Z$7&gt;=$E13,Z$7&lt;=$F13),1,"")</x:f>
      </x:c>
      <x:c r="AA13" s="233" t="str">
        <x:f>IF(AND(AA$7&gt;=$E13,AA$7&lt;=$F13),1,"")</x:f>
      </x:c>
      <x:c r="AB13" s="233" t="str">
        <x:f>IF(AND(AB$7&gt;=$E13,AB$7&lt;=$F13),1,"")</x:f>
      </x:c>
      <x:c r="AC13" s="229" t="str">
        <x:f>IF(AND(AC$7&gt;=$E13,AC$7&lt;=$F13),1,"")</x:f>
      </x:c>
      <x:c r="AD13" s="229" t="str">
        <x:f>IF(AND(AD$7&gt;=$E13,AD$7&lt;=$F13),1,"")</x:f>
      </x:c>
      <x:c r="AE13" s="229" t="str">
        <x:f>IF(AND(AE$7&gt;=$E13,AE$7&lt;=$F13),1,"")</x:f>
      </x:c>
      <x:c r="AF13" s="229" t="str">
        <x:f>IF(AND(AF$7&gt;=$E13,AF$7&lt;=$F13),1,"")</x:f>
      </x:c>
      <x:c r="AG13" s="229" t="str">
        <x:f>IF(AND(AG$7&gt;=$E13,AG$7&lt;=$F13),1,"")</x:f>
      </x:c>
      <x:c r="AH13" s="236" t="str">
        <x:f>IF(AND(AH$7&gt;=$E13,AH$7&lt;=$F13),1,"")</x:f>
      </x:c>
      <x:c r="AI13" s="236" t="str">
        <x:f>IF(AND(AI$7&gt;=$E13,AI$7&lt;=$F13),1,"")</x:f>
      </x:c>
      <x:c r="AJ13" s="236" t="str">
        <x:f>IF(AND(AJ$7&gt;=$E13,AJ$7&lt;=$F13),1,"")</x:f>
      </x:c>
      <x:c r="AK13" s="236" t="str">
        <x:f>IF(AND(AK$7&gt;=$E13,AK$7&lt;=$F13),1,"")</x:f>
      </x:c>
      <x:c r="AL13" s="236" t="str">
        <x:f>IF(AND(AL$7&gt;=$E13,AL$7&lt;=$F13),1,"")</x:f>
      </x:c>
      <x:c r="AM13" s="229" t="str">
        <x:f>IF(AND(AM$7&gt;=$E13,AM$7&lt;=$F13),1,"")</x:f>
      </x:c>
      <x:c r="AN13" s="229" t="str">
        <x:f>IF(AND(AN$7&gt;=$E13,AN$7&lt;=$F13),1,"")</x:f>
      </x:c>
      <x:c r="AO13" s="229" t="str">
        <x:f>IF(AND(AO$7&gt;=$E13,AO$7&lt;=$F13),1,"")</x:f>
      </x:c>
      <x:c r="AP13" s="229" t="str">
        <x:f>IF(AND(AP$7&gt;=$E13,AP$7&lt;=$F13),1,"")</x:f>
      </x:c>
      <x:c r="AQ13" s="229" t="str">
        <x:f>IF(AND(AQ$7&gt;=$E13,AQ$7&lt;=$F13),1,"")</x:f>
      </x:c>
      <x:c r="AR13" s="238" t="str">
        <x:f>IF(AND(AR$7&gt;=$E13,AR$7&lt;=$F13),1,"")</x:f>
      </x:c>
      <x:c r="AS13" s="238" t="str">
        <x:f>IF(AND(AS$7&gt;=$E13,AS$7&lt;=$F13),1,"")</x:f>
      </x:c>
      <x:c r="AT13" s="238" t="str">
        <x:f>IF(AND(AT$7&gt;=$E13,AT$7&lt;=$F13),1,"")</x:f>
      </x:c>
      <x:c r="AU13" s="238" t="str">
        <x:f>IF(AND(AU$7&gt;=$E13,AU$7&lt;=$F13),1,"")</x:f>
      </x:c>
      <x:c r="AV13" s="238" t="str">
        <x:f>IF(AND(AV$7&gt;=$E13,AV$7&lt;=$F13),1,"")</x:f>
      </x:c>
      <x:c r="AW13" s="244" t="str">
        <x:f>IF(AND(AW$7&gt;=$E13,AW$7&lt;=$F13),1,"")</x:f>
      </x:c>
      <x:c r="AX13" s="244" t="str">
        <x:f>IF(AND(AX$7&gt;=$E13,AX$7&lt;=$F13),1,"")</x:f>
      </x:c>
      <x:c r="AY13" s="244" t="str">
        <x:f>IF(AND(AY$7&gt;=$E13,AY$7&lt;=$F13),1,"")</x:f>
      </x:c>
      <x:c r="AZ13" s="244" t="str">
        <x:f>IF(AND(AZ$7&gt;=$E13,AZ$7&lt;=$F13),1,"")</x:f>
      </x:c>
      <x:c r="BA13" s="244" t="str">
        <x:f>IF(AND(BA$7&gt;=$E13,BA$7&lt;=$F13),1,"")</x:f>
      </x:c>
      <x:c r="BB13" s="244" t="str">
        <x:f>IF(AND(BB$7&gt;=$E13,BB$7&lt;=$F13),1,"")</x:f>
      </x:c>
      <x:c r="BC13" s="244" t="str">
        <x:f>IF(AND(BC$7&gt;=$E13,BC$7&lt;=$F13),1,"")</x:f>
      </x:c>
      <x:c r="BD13" s="244" t="str">
        <x:f>IF(AND(BD$7&gt;=$E13,BD$7&lt;=$F13),1,"")</x:f>
      </x:c>
      <x:c r="BE13" s="244" t="str">
        <x:f>IF(AND(BE$7&gt;=$E13,BE$7&lt;=$F13),1,"")</x:f>
      </x:c>
      <x:c r="BF13" s="244" t="str">
        <x:f>IF(AND(BF$7&gt;=$E13,BF$7&lt;=$F13),1,"")</x:f>
      </x:c>
      <x:c r="BG13" s="244" t="str">
        <x:f>IF(AND(BG$7&gt;=$E13,BG$7&lt;=$F13),1,"")</x:f>
      </x:c>
      <x:c r="BH13" s="244" t="str">
        <x:f>IF(AND(BH$7&gt;=$E13,BH$7&lt;=$F13),1,"")</x:f>
      </x:c>
      <x:c r="BI13" s="244" t="str">
        <x:f>IF(AND(BI$7&gt;=$E13,BI$7&lt;=$F13),1,"")</x:f>
      </x:c>
      <x:c r="BJ13" s="244" t="str">
        <x:f>IF(AND(BJ$7&gt;=$E13,BJ$7&lt;=$F13),1,"")</x:f>
      </x:c>
      <x:c r="BK13" s="244" t="str">
        <x:f>IF(AND(BK$7&gt;=$E13,BK$7&lt;=$F13),1,"")</x:f>
      </x:c>
      <x:c r="BL13" s="244" t="str">
        <x:f>IF(AND(BL$7&gt;=$E13,BL$7&lt;=$F13),1,"")</x:f>
      </x:c>
      <x:c r="BM13" s="244" t="str">
        <x:f>IF(AND(BM$7&gt;=$E13,BM$7&lt;=$F13),1,"")</x:f>
      </x:c>
      <x:c r="BN13" s="244" t="str">
        <x:f>IF(AND(BN$7&gt;=$E13,BN$7&lt;=$F13),1,"")</x:f>
      </x:c>
      <x:c r="BO13" s="244" t="str">
        <x:f>IF(AND(BO$7&gt;=$E13,BO$7&lt;=$F13),1,"")</x:f>
      </x:c>
      <x:c r="BP13" s="244" t="str">
        <x:f>IF(AND(BP$7&gt;=$E13,BP$7&lt;=$F13),1,"")</x:f>
      </x:c>
      <x:c r="BQ13" s="59"/>
    </x:row>
    <x:row r="14" ht="36" customHeight="1">
      <x:c r="A14" s="59"/>
      <x:c r="B14" s="283" t="str">
        <x:v>1.3</x:v>
      </x:c>
      <x:c r="C14" s="284" t="str">
        <x:v>Canonical 객체·Snapshot·결과 스키마 확정</x:v>
      </x:c>
      <x:c r="D14" s="283" t="str">
        <x:v>백엔드·AI</x:v>
      </x:c>
      <x:c r="E14" s="279" t="n">
        <x:v>46219</x:v>
      </x:c>
      <x:c r="F14" s="279" t="n">
        <x:v>46227</x:v>
      </x:c>
      <x:c r="G14" s="285" t="n">
        <x:f t="shared" si="1">IF(OR(E14="",F14=""),"",F14-E14+1)</x:f>
        <x:v>9</x:v>
      </x:c>
      <x:c r="H14" s="281" t="n">
        <x:v>0</x:v>
      </x:c>
      <x:c r="I14" s="229" t="str">
        <x:f>IF(AND(I$7&gt;=$E14,I$7&lt;=$F14),1,"")</x:f>
      </x:c>
      <x:c r="J14" s="229" t="str">
        <x:f>IF(AND(J$7&gt;=$E14,J$7&lt;=$F14),1,"")</x:f>
      </x:c>
      <x:c r="K14" s="229" t="str">
        <x:f>IF(AND(K$7&gt;=$E14,K$7&lt;=$F14),1,"")</x:f>
      </x:c>
      <x:c r="L14" s="229" t="n">
        <x:f>IF(AND(L$7&gt;=$E14,L$7&lt;=$F14),1,"")</x:f>
        <x:v>1</x:v>
      </x:c>
      <x:c r="M14" s="229" t="n">
        <x:f>IF(AND(M$7&gt;=$E14,M$7&lt;=$F14),1,"")</x:f>
        <x:v>1</x:v>
      </x:c>
      <x:c r="N14" s="231" t="n">
        <x:f>IF(AND(N$7&gt;=$E14,N$7&lt;=$F14),1,"")</x:f>
        <x:v>1</x:v>
      </x:c>
      <x:c r="O14" s="231" t="n">
        <x:f>IF(AND(O$7&gt;=$E14,O$7&lt;=$F14),1,"")</x:f>
        <x:v>1</x:v>
      </x:c>
      <x:c r="P14" s="231" t="n">
        <x:f>IF(AND(P$7&gt;=$E14,P$7&lt;=$F14),1,"")</x:f>
        <x:v>1</x:v>
      </x:c>
      <x:c r="Q14" s="231" t="n">
        <x:f>IF(AND(Q$7&gt;=$E14,Q$7&lt;=$F14),1,"")</x:f>
        <x:v>1</x:v>
      </x:c>
      <x:c r="R14" s="231" t="n">
        <x:f>IF(AND(R$7&gt;=$E14,R$7&lt;=$F14),1,"")</x:f>
        <x:v>1</x:v>
      </x:c>
      <x:c r="S14" s="229" t="str">
        <x:f>IF(AND(S$7&gt;=$E14,S$7&lt;=$F14),1,"")</x:f>
      </x:c>
      <x:c r="T14" s="229" t="str">
        <x:f>IF(AND(T$7&gt;=$E14,T$7&lt;=$F14),1,"")</x:f>
      </x:c>
      <x:c r="U14" s="229" t="str">
        <x:f>IF(AND(U$7&gt;=$E14,U$7&lt;=$F14),1,"")</x:f>
      </x:c>
      <x:c r="V14" s="229" t="str">
        <x:f>IF(AND(V$7&gt;=$E14,V$7&lt;=$F14),1,"")</x:f>
      </x:c>
      <x:c r="W14" s="229" t="str">
        <x:f>IF(AND(W$7&gt;=$E14,W$7&lt;=$F14),1,"")</x:f>
      </x:c>
      <x:c r="X14" s="233" t="str">
        <x:f>IF(AND(X$7&gt;=$E14,X$7&lt;=$F14),1,"")</x:f>
      </x:c>
      <x:c r="Y14" s="233" t="str">
        <x:f>IF(AND(Y$7&gt;=$E14,Y$7&lt;=$F14),1,"")</x:f>
      </x:c>
      <x:c r="Z14" s="233" t="str">
        <x:f>IF(AND(Z$7&gt;=$E14,Z$7&lt;=$F14),1,"")</x:f>
      </x:c>
      <x:c r="AA14" s="233" t="str">
        <x:f>IF(AND(AA$7&gt;=$E14,AA$7&lt;=$F14),1,"")</x:f>
      </x:c>
      <x:c r="AB14" s="233" t="str">
        <x:f>IF(AND(AB$7&gt;=$E14,AB$7&lt;=$F14),1,"")</x:f>
      </x:c>
      <x:c r="AC14" s="229" t="str">
        <x:f>IF(AND(AC$7&gt;=$E14,AC$7&lt;=$F14),1,"")</x:f>
      </x:c>
      <x:c r="AD14" s="229" t="str">
        <x:f>IF(AND(AD$7&gt;=$E14,AD$7&lt;=$F14),1,"")</x:f>
      </x:c>
      <x:c r="AE14" s="229" t="str">
        <x:f>IF(AND(AE$7&gt;=$E14,AE$7&lt;=$F14),1,"")</x:f>
      </x:c>
      <x:c r="AF14" s="229" t="str">
        <x:f>IF(AND(AF$7&gt;=$E14,AF$7&lt;=$F14),1,"")</x:f>
      </x:c>
      <x:c r="AG14" s="229" t="str">
        <x:f>IF(AND(AG$7&gt;=$E14,AG$7&lt;=$F14),1,"")</x:f>
      </x:c>
      <x:c r="AH14" s="236" t="str">
        <x:f>IF(AND(AH$7&gt;=$E14,AH$7&lt;=$F14),1,"")</x:f>
      </x:c>
      <x:c r="AI14" s="236" t="str">
        <x:f>IF(AND(AI$7&gt;=$E14,AI$7&lt;=$F14),1,"")</x:f>
      </x:c>
      <x:c r="AJ14" s="236" t="str">
        <x:f>IF(AND(AJ$7&gt;=$E14,AJ$7&lt;=$F14),1,"")</x:f>
      </x:c>
      <x:c r="AK14" s="236" t="str">
        <x:f>IF(AND(AK$7&gt;=$E14,AK$7&lt;=$F14),1,"")</x:f>
      </x:c>
      <x:c r="AL14" s="236" t="str">
        <x:f>IF(AND(AL$7&gt;=$E14,AL$7&lt;=$F14),1,"")</x:f>
      </x:c>
      <x:c r="AM14" s="229" t="str">
        <x:f>IF(AND(AM$7&gt;=$E14,AM$7&lt;=$F14),1,"")</x:f>
      </x:c>
      <x:c r="AN14" s="229" t="str">
        <x:f>IF(AND(AN$7&gt;=$E14,AN$7&lt;=$F14),1,"")</x:f>
      </x:c>
      <x:c r="AO14" s="229" t="str">
        <x:f>IF(AND(AO$7&gt;=$E14,AO$7&lt;=$F14),1,"")</x:f>
      </x:c>
      <x:c r="AP14" s="229" t="str">
        <x:f>IF(AND(AP$7&gt;=$E14,AP$7&lt;=$F14),1,"")</x:f>
      </x:c>
      <x:c r="AQ14" s="229" t="str">
        <x:f>IF(AND(AQ$7&gt;=$E14,AQ$7&lt;=$F14),1,"")</x:f>
      </x:c>
      <x:c r="AR14" s="238" t="str">
        <x:f>IF(AND(AR$7&gt;=$E14,AR$7&lt;=$F14),1,"")</x:f>
      </x:c>
      <x:c r="AS14" s="238" t="str">
        <x:f>IF(AND(AS$7&gt;=$E14,AS$7&lt;=$F14),1,"")</x:f>
      </x:c>
      <x:c r="AT14" s="238" t="str">
        <x:f>IF(AND(AT$7&gt;=$E14,AT$7&lt;=$F14),1,"")</x:f>
      </x:c>
      <x:c r="AU14" s="238" t="str">
        <x:f>IF(AND(AU$7&gt;=$E14,AU$7&lt;=$F14),1,"")</x:f>
      </x:c>
      <x:c r="AV14" s="238" t="str">
        <x:f>IF(AND(AV$7&gt;=$E14,AV$7&lt;=$F14),1,"")</x:f>
      </x:c>
      <x:c r="AW14" s="244" t="str">
        <x:f>IF(AND(AW$7&gt;=$E14,AW$7&lt;=$F14),1,"")</x:f>
      </x:c>
      <x:c r="AX14" s="244" t="str">
        <x:f>IF(AND(AX$7&gt;=$E14,AX$7&lt;=$F14),1,"")</x:f>
      </x:c>
      <x:c r="AY14" s="244" t="str">
        <x:f>IF(AND(AY$7&gt;=$E14,AY$7&lt;=$F14),1,"")</x:f>
      </x:c>
      <x:c r="AZ14" s="244" t="str">
        <x:f>IF(AND(AZ$7&gt;=$E14,AZ$7&lt;=$F14),1,"")</x:f>
      </x:c>
      <x:c r="BA14" s="244" t="str">
        <x:f>IF(AND(BA$7&gt;=$E14,BA$7&lt;=$F14),1,"")</x:f>
      </x:c>
      <x:c r="BB14" s="244" t="str">
        <x:f>IF(AND(BB$7&gt;=$E14,BB$7&lt;=$F14),1,"")</x:f>
      </x:c>
      <x:c r="BC14" s="244" t="str">
        <x:f>IF(AND(BC$7&gt;=$E14,BC$7&lt;=$F14),1,"")</x:f>
      </x:c>
      <x:c r="BD14" s="244" t="str">
        <x:f>IF(AND(BD$7&gt;=$E14,BD$7&lt;=$F14),1,"")</x:f>
      </x:c>
      <x:c r="BE14" s="244" t="str">
        <x:f>IF(AND(BE$7&gt;=$E14,BE$7&lt;=$F14),1,"")</x:f>
      </x:c>
      <x:c r="BF14" s="244" t="str">
        <x:f>IF(AND(BF$7&gt;=$E14,BF$7&lt;=$F14),1,"")</x:f>
      </x:c>
      <x:c r="BG14" s="244" t="str">
        <x:f>IF(AND(BG$7&gt;=$E14,BG$7&lt;=$F14),1,"")</x:f>
      </x:c>
      <x:c r="BH14" s="244" t="str">
        <x:f>IF(AND(BH$7&gt;=$E14,BH$7&lt;=$F14),1,"")</x:f>
      </x:c>
      <x:c r="BI14" s="244" t="str">
        <x:f>IF(AND(BI$7&gt;=$E14,BI$7&lt;=$F14),1,"")</x:f>
      </x:c>
      <x:c r="BJ14" s="244" t="str">
        <x:f>IF(AND(BJ$7&gt;=$E14,BJ$7&lt;=$F14),1,"")</x:f>
      </x:c>
      <x:c r="BK14" s="244" t="str">
        <x:f>IF(AND(BK$7&gt;=$E14,BK$7&lt;=$F14),1,"")</x:f>
      </x:c>
      <x:c r="BL14" s="244" t="str">
        <x:f>IF(AND(BL$7&gt;=$E14,BL$7&lt;=$F14),1,"")</x:f>
      </x:c>
      <x:c r="BM14" s="244" t="str">
        <x:f>IF(AND(BM$7&gt;=$E14,BM$7&lt;=$F14),1,"")</x:f>
      </x:c>
      <x:c r="BN14" s="244" t="str">
        <x:f>IF(AND(BN$7&gt;=$E14,BN$7&lt;=$F14),1,"")</x:f>
      </x:c>
      <x:c r="BO14" s="244" t="str">
        <x:f>IF(AND(BO$7&gt;=$E14,BO$7&lt;=$F14),1,"")</x:f>
      </x:c>
      <x:c r="BP14" s="244" t="str">
        <x:f>IF(AND(BP$7&gt;=$E14,BP$7&lt;=$F14),1,"")</x:f>
      </x:c>
      <x:c r="BQ14" s="59"/>
    </x:row>
    <x:row r="15" ht="36" customHeight="1">
      <x:c r="A15" s="59"/>
      <x:c r="B15" s="283" t="str">
        <x:v>1.4</x:v>
      </x:c>
      <x:c r="C15" s="284" t="str">
        <x:v>HR Mock DB 최소 스키마·조직도 생성 규칙 설계</x:v>
      </x:c>
      <x:c r="D15" s="283" t="str">
        <x:v>백엔드·데이터</x:v>
      </x:c>
      <x:c r="E15" s="279" t="n">
        <x:v>46223</x:v>
      </x:c>
      <x:c r="F15" s="279" t="n">
        <x:v>46230</x:v>
      </x:c>
      <x:c r="G15" s="285" t="n">
        <x:f t="shared" si="1">IF(OR(E15="",F15=""),"",F15-E15+1)</x:f>
        <x:v>8</x:v>
      </x:c>
      <x:c r="H15" s="281" t="n">
        <x:v>0</x:v>
      </x:c>
      <x:c r="I15" s="229" t="str">
        <x:f>IF(AND(I$7&gt;=$E15,I$7&lt;=$F15),1,"")</x:f>
      </x:c>
      <x:c r="J15" s="229" t="str">
        <x:f>IF(AND(J$7&gt;=$E15,J$7&lt;=$F15),1,"")</x:f>
      </x:c>
      <x:c r="K15" s="229" t="str">
        <x:f>IF(AND(K$7&gt;=$E15,K$7&lt;=$F15),1,"")</x:f>
      </x:c>
      <x:c r="L15" s="229" t="str">
        <x:f>IF(AND(L$7&gt;=$E15,L$7&lt;=$F15),1,"")</x:f>
      </x:c>
      <x:c r="M15" s="229" t="str">
        <x:f>IF(AND(M$7&gt;=$E15,M$7&lt;=$F15),1,"")</x:f>
      </x:c>
      <x:c r="N15" s="231" t="n">
        <x:f>IF(AND(N$7&gt;=$E15,N$7&lt;=$F15),1,"")</x:f>
        <x:v>1</x:v>
      </x:c>
      <x:c r="O15" s="231" t="n">
        <x:f>IF(AND(O$7&gt;=$E15,O$7&lt;=$F15),1,"")</x:f>
        <x:v>1</x:v>
      </x:c>
      <x:c r="P15" s="231" t="n">
        <x:f>IF(AND(P$7&gt;=$E15,P$7&lt;=$F15),1,"")</x:f>
        <x:v>1</x:v>
      </x:c>
      <x:c r="Q15" s="231" t="n">
        <x:f>IF(AND(Q$7&gt;=$E15,Q$7&lt;=$F15),1,"")</x:f>
        <x:v>1</x:v>
      </x:c>
      <x:c r="R15" s="231" t="n">
        <x:f>IF(AND(R$7&gt;=$E15,R$7&lt;=$F15),1,"")</x:f>
        <x:v>1</x:v>
      </x:c>
      <x:c r="S15" s="229" t="n">
        <x:f>IF(AND(S$7&gt;=$E15,S$7&lt;=$F15),1,"")</x:f>
        <x:v>1</x:v>
      </x:c>
      <x:c r="T15" s="229" t="str">
        <x:f>IF(AND(T$7&gt;=$E15,T$7&lt;=$F15),1,"")</x:f>
      </x:c>
      <x:c r="U15" s="229" t="str">
        <x:f>IF(AND(U$7&gt;=$E15,U$7&lt;=$F15),1,"")</x:f>
      </x:c>
      <x:c r="V15" s="229" t="str">
        <x:f>IF(AND(V$7&gt;=$E15,V$7&lt;=$F15),1,"")</x:f>
      </x:c>
      <x:c r="W15" s="229" t="str">
        <x:f>IF(AND(W$7&gt;=$E15,W$7&lt;=$F15),1,"")</x:f>
      </x:c>
      <x:c r="X15" s="233" t="str">
        <x:f>IF(AND(X$7&gt;=$E15,X$7&lt;=$F15),1,"")</x:f>
      </x:c>
      <x:c r="Y15" s="233" t="str">
        <x:f>IF(AND(Y$7&gt;=$E15,Y$7&lt;=$F15),1,"")</x:f>
      </x:c>
      <x:c r="Z15" s="233" t="str">
        <x:f>IF(AND(Z$7&gt;=$E15,Z$7&lt;=$F15),1,"")</x:f>
      </x:c>
      <x:c r="AA15" s="233" t="str">
        <x:f>IF(AND(AA$7&gt;=$E15,AA$7&lt;=$F15),1,"")</x:f>
      </x:c>
      <x:c r="AB15" s="233" t="str">
        <x:f>IF(AND(AB$7&gt;=$E15,AB$7&lt;=$F15),1,"")</x:f>
      </x:c>
      <x:c r="AC15" s="229" t="str">
        <x:f>IF(AND(AC$7&gt;=$E15,AC$7&lt;=$F15),1,"")</x:f>
      </x:c>
      <x:c r="AD15" s="229" t="str">
        <x:f>IF(AND(AD$7&gt;=$E15,AD$7&lt;=$F15),1,"")</x:f>
      </x:c>
      <x:c r="AE15" s="229" t="str">
        <x:f>IF(AND(AE$7&gt;=$E15,AE$7&lt;=$F15),1,"")</x:f>
      </x:c>
      <x:c r="AF15" s="229" t="str">
        <x:f>IF(AND(AF$7&gt;=$E15,AF$7&lt;=$F15),1,"")</x:f>
      </x:c>
      <x:c r="AG15" s="229" t="str">
        <x:f>IF(AND(AG$7&gt;=$E15,AG$7&lt;=$F15),1,"")</x:f>
      </x:c>
      <x:c r="AH15" s="236" t="str">
        <x:f>IF(AND(AH$7&gt;=$E15,AH$7&lt;=$F15),1,"")</x:f>
      </x:c>
      <x:c r="AI15" s="236" t="str">
        <x:f>IF(AND(AI$7&gt;=$E15,AI$7&lt;=$F15),1,"")</x:f>
      </x:c>
      <x:c r="AJ15" s="236" t="str">
        <x:f>IF(AND(AJ$7&gt;=$E15,AJ$7&lt;=$F15),1,"")</x:f>
      </x:c>
      <x:c r="AK15" s="236" t="str">
        <x:f>IF(AND(AK$7&gt;=$E15,AK$7&lt;=$F15),1,"")</x:f>
      </x:c>
      <x:c r="AL15" s="236" t="str">
        <x:f>IF(AND(AL$7&gt;=$E15,AL$7&lt;=$F15),1,"")</x:f>
      </x:c>
      <x:c r="AM15" s="229" t="str">
        <x:f>IF(AND(AM$7&gt;=$E15,AM$7&lt;=$F15),1,"")</x:f>
      </x:c>
      <x:c r="AN15" s="229" t="str">
        <x:f>IF(AND(AN$7&gt;=$E15,AN$7&lt;=$F15),1,"")</x:f>
      </x:c>
      <x:c r="AO15" s="229" t="str">
        <x:f>IF(AND(AO$7&gt;=$E15,AO$7&lt;=$F15),1,"")</x:f>
      </x:c>
      <x:c r="AP15" s="229" t="str">
        <x:f>IF(AND(AP$7&gt;=$E15,AP$7&lt;=$F15),1,"")</x:f>
      </x:c>
      <x:c r="AQ15" s="229" t="str">
        <x:f>IF(AND(AQ$7&gt;=$E15,AQ$7&lt;=$F15),1,"")</x:f>
      </x:c>
      <x:c r="AR15" s="238" t="str">
        <x:f>IF(AND(AR$7&gt;=$E15,AR$7&lt;=$F15),1,"")</x:f>
      </x:c>
      <x:c r="AS15" s="238" t="str">
        <x:f>IF(AND(AS$7&gt;=$E15,AS$7&lt;=$F15),1,"")</x:f>
      </x:c>
      <x:c r="AT15" s="238" t="str">
        <x:f>IF(AND(AT$7&gt;=$E15,AT$7&lt;=$F15),1,"")</x:f>
      </x:c>
      <x:c r="AU15" s="238" t="str">
        <x:f>IF(AND(AU$7&gt;=$E15,AU$7&lt;=$F15),1,"")</x:f>
      </x:c>
      <x:c r="AV15" s="238" t="str">
        <x:f>IF(AND(AV$7&gt;=$E15,AV$7&lt;=$F15),1,"")</x:f>
      </x:c>
      <x:c r="AW15" s="244" t="str">
        <x:f>IF(AND(AW$7&gt;=$E15,AW$7&lt;=$F15),1,"")</x:f>
      </x:c>
      <x:c r="AX15" s="244" t="str">
        <x:f>IF(AND(AX$7&gt;=$E15,AX$7&lt;=$F15),1,"")</x:f>
      </x:c>
      <x:c r="AY15" s="244" t="str">
        <x:f>IF(AND(AY$7&gt;=$E15,AY$7&lt;=$F15),1,"")</x:f>
      </x:c>
      <x:c r="AZ15" s="244" t="str">
        <x:f>IF(AND(AZ$7&gt;=$E15,AZ$7&lt;=$F15),1,"")</x:f>
      </x:c>
      <x:c r="BA15" s="244" t="str">
        <x:f>IF(AND(BA$7&gt;=$E15,BA$7&lt;=$F15),1,"")</x:f>
      </x:c>
      <x:c r="BB15" s="244" t="str">
        <x:f>IF(AND(BB$7&gt;=$E15,BB$7&lt;=$F15),1,"")</x:f>
      </x:c>
      <x:c r="BC15" s="244" t="str">
        <x:f>IF(AND(BC$7&gt;=$E15,BC$7&lt;=$F15),1,"")</x:f>
      </x:c>
      <x:c r="BD15" s="244" t="str">
        <x:f>IF(AND(BD$7&gt;=$E15,BD$7&lt;=$F15),1,"")</x:f>
      </x:c>
      <x:c r="BE15" s="244" t="str">
        <x:f>IF(AND(BE$7&gt;=$E15,BE$7&lt;=$F15),1,"")</x:f>
      </x:c>
      <x:c r="BF15" s="244" t="str">
        <x:f>IF(AND(BF$7&gt;=$E15,BF$7&lt;=$F15),1,"")</x:f>
      </x:c>
      <x:c r="BG15" s="244" t="str">
        <x:f>IF(AND(BG$7&gt;=$E15,BG$7&lt;=$F15),1,"")</x:f>
      </x:c>
      <x:c r="BH15" s="244" t="str">
        <x:f>IF(AND(BH$7&gt;=$E15,BH$7&lt;=$F15),1,"")</x:f>
      </x:c>
      <x:c r="BI15" s="244" t="str">
        <x:f>IF(AND(BI$7&gt;=$E15,BI$7&lt;=$F15),1,"")</x:f>
      </x:c>
      <x:c r="BJ15" s="244" t="str">
        <x:f>IF(AND(BJ$7&gt;=$E15,BJ$7&lt;=$F15),1,"")</x:f>
      </x:c>
      <x:c r="BK15" s="244" t="str">
        <x:f>IF(AND(BK$7&gt;=$E15,BK$7&lt;=$F15),1,"")</x:f>
      </x:c>
      <x:c r="BL15" s="244" t="str">
        <x:f>IF(AND(BL$7&gt;=$E15,BL$7&lt;=$F15),1,"")</x:f>
      </x:c>
      <x:c r="BM15" s="244" t="str">
        <x:f>IF(AND(BM$7&gt;=$E15,BM$7&lt;=$F15),1,"")</x:f>
      </x:c>
      <x:c r="BN15" s="244" t="str">
        <x:f>IF(AND(BN$7&gt;=$E15,BN$7&lt;=$F15),1,"")</x:f>
      </x:c>
      <x:c r="BO15" s="244" t="str">
        <x:f>IF(AND(BO$7&gt;=$E15,BO$7&lt;=$F15),1,"")</x:f>
      </x:c>
      <x:c r="BP15" s="244" t="str">
        <x:f>IF(AND(BP$7&gt;=$E15,BP$7&lt;=$F15),1,"")</x:f>
      </x:c>
      <x:c r="BQ15" s="59"/>
    </x:row>
    <x:row r="16" ht="36" customHeight="1">
      <x:c r="A16" s="59"/>
      <x:c r="B16" s="283" t="str">
        <x:v>1.5</x:v>
      </x:c>
      <x:c r="C16" s="284" t="str">
        <x:v>필수 데이터·Feature Readiness·검증 정책 확정</x:v>
      </x:c>
      <x:c r="D16" s="283" t="str">
        <x:v>PM·백엔드</x:v>
      </x:c>
      <x:c r="E16" s="279" t="n">
        <x:v>46223</x:v>
      </x:c>
      <x:c r="F16" s="279" t="n">
        <x:v>46230</x:v>
      </x:c>
      <x:c r="G16" s="285" t="n">
        <x:f t="shared" si="1">IF(OR(E16="",F16=""),"",F16-E16+1)</x:f>
        <x:v>8</x:v>
      </x:c>
      <x:c r="H16" s="281" t="n">
        <x:v>0</x:v>
      </x:c>
      <x:c r="I16" s="229" t="str">
        <x:f>IF(AND(I$7&gt;=$E16,I$7&lt;=$F16),1,"")</x:f>
      </x:c>
      <x:c r="J16" s="229" t="str">
        <x:f>IF(AND(J$7&gt;=$E16,J$7&lt;=$F16),1,"")</x:f>
      </x:c>
      <x:c r="K16" s="229" t="str">
        <x:f>IF(AND(K$7&gt;=$E16,K$7&lt;=$F16),1,"")</x:f>
      </x:c>
      <x:c r="L16" s="229" t="str">
        <x:f>IF(AND(L$7&gt;=$E16,L$7&lt;=$F16),1,"")</x:f>
      </x:c>
      <x:c r="M16" s="229" t="str">
        <x:f>IF(AND(M$7&gt;=$E16,M$7&lt;=$F16),1,"")</x:f>
      </x:c>
      <x:c r="N16" s="231" t="n">
        <x:f>IF(AND(N$7&gt;=$E16,N$7&lt;=$F16),1,"")</x:f>
        <x:v>1</x:v>
      </x:c>
      <x:c r="O16" s="231" t="n">
        <x:f>IF(AND(O$7&gt;=$E16,O$7&lt;=$F16),1,"")</x:f>
        <x:v>1</x:v>
      </x:c>
      <x:c r="P16" s="231" t="n">
        <x:f>IF(AND(P$7&gt;=$E16,P$7&lt;=$F16),1,"")</x:f>
        <x:v>1</x:v>
      </x:c>
      <x:c r="Q16" s="231" t="n">
        <x:f>IF(AND(Q$7&gt;=$E16,Q$7&lt;=$F16),1,"")</x:f>
        <x:v>1</x:v>
      </x:c>
      <x:c r="R16" s="231" t="n">
        <x:f>IF(AND(R$7&gt;=$E16,R$7&lt;=$F16),1,"")</x:f>
        <x:v>1</x:v>
      </x:c>
      <x:c r="S16" s="229" t="n">
        <x:f>IF(AND(S$7&gt;=$E16,S$7&lt;=$F16),1,"")</x:f>
        <x:v>1</x:v>
      </x:c>
      <x:c r="T16" s="229" t="str">
        <x:f>IF(AND(T$7&gt;=$E16,T$7&lt;=$F16),1,"")</x:f>
      </x:c>
      <x:c r="U16" s="229" t="str">
        <x:f>IF(AND(U$7&gt;=$E16,U$7&lt;=$F16),1,"")</x:f>
      </x:c>
      <x:c r="V16" s="229" t="str">
        <x:f>IF(AND(V$7&gt;=$E16,V$7&lt;=$F16),1,"")</x:f>
      </x:c>
      <x:c r="W16" s="229" t="str">
        <x:f>IF(AND(W$7&gt;=$E16,W$7&lt;=$F16),1,"")</x:f>
      </x:c>
      <x:c r="X16" s="233" t="str">
        <x:f>IF(AND(X$7&gt;=$E16,X$7&lt;=$F16),1,"")</x:f>
      </x:c>
      <x:c r="Y16" s="233" t="str">
        <x:f>IF(AND(Y$7&gt;=$E16,Y$7&lt;=$F16),1,"")</x:f>
      </x:c>
      <x:c r="Z16" s="233" t="str">
        <x:f>IF(AND(Z$7&gt;=$E16,Z$7&lt;=$F16),1,"")</x:f>
      </x:c>
      <x:c r="AA16" s="233" t="str">
        <x:f>IF(AND(AA$7&gt;=$E16,AA$7&lt;=$F16),1,"")</x:f>
      </x:c>
      <x:c r="AB16" s="233" t="str">
        <x:f>IF(AND(AB$7&gt;=$E16,AB$7&lt;=$F16),1,"")</x:f>
      </x:c>
      <x:c r="AC16" s="229" t="str">
        <x:f>IF(AND(AC$7&gt;=$E16,AC$7&lt;=$F16),1,"")</x:f>
      </x:c>
      <x:c r="AD16" s="229" t="str">
        <x:f>IF(AND(AD$7&gt;=$E16,AD$7&lt;=$F16),1,"")</x:f>
      </x:c>
      <x:c r="AE16" s="229" t="str">
        <x:f>IF(AND(AE$7&gt;=$E16,AE$7&lt;=$F16),1,"")</x:f>
      </x:c>
      <x:c r="AF16" s="229" t="str">
        <x:f>IF(AND(AF$7&gt;=$E16,AF$7&lt;=$F16),1,"")</x:f>
      </x:c>
      <x:c r="AG16" s="229" t="str">
        <x:f>IF(AND(AG$7&gt;=$E16,AG$7&lt;=$F16),1,"")</x:f>
      </x:c>
      <x:c r="AH16" s="236" t="str">
        <x:f>IF(AND(AH$7&gt;=$E16,AH$7&lt;=$F16),1,"")</x:f>
      </x:c>
      <x:c r="AI16" s="236" t="str">
        <x:f>IF(AND(AI$7&gt;=$E16,AI$7&lt;=$F16),1,"")</x:f>
      </x:c>
      <x:c r="AJ16" s="236" t="str">
        <x:f>IF(AND(AJ$7&gt;=$E16,AJ$7&lt;=$F16),1,"")</x:f>
      </x:c>
      <x:c r="AK16" s="236" t="str">
        <x:f>IF(AND(AK$7&gt;=$E16,AK$7&lt;=$F16),1,"")</x:f>
      </x:c>
      <x:c r="AL16" s="236" t="str">
        <x:f>IF(AND(AL$7&gt;=$E16,AL$7&lt;=$F16),1,"")</x:f>
      </x:c>
      <x:c r="AM16" s="229" t="str">
        <x:f>IF(AND(AM$7&gt;=$E16,AM$7&lt;=$F16),1,"")</x:f>
      </x:c>
      <x:c r="AN16" s="229" t="str">
        <x:f>IF(AND(AN$7&gt;=$E16,AN$7&lt;=$F16),1,"")</x:f>
      </x:c>
      <x:c r="AO16" s="229" t="str">
        <x:f>IF(AND(AO$7&gt;=$E16,AO$7&lt;=$F16),1,"")</x:f>
      </x:c>
      <x:c r="AP16" s="229" t="str">
        <x:f>IF(AND(AP$7&gt;=$E16,AP$7&lt;=$F16),1,"")</x:f>
      </x:c>
      <x:c r="AQ16" s="229" t="str">
        <x:f>IF(AND(AQ$7&gt;=$E16,AQ$7&lt;=$F16),1,"")</x:f>
      </x:c>
      <x:c r="AR16" s="238" t="str">
        <x:f>IF(AND(AR$7&gt;=$E16,AR$7&lt;=$F16),1,"")</x:f>
      </x:c>
      <x:c r="AS16" s="238" t="str">
        <x:f>IF(AND(AS$7&gt;=$E16,AS$7&lt;=$F16),1,"")</x:f>
      </x:c>
      <x:c r="AT16" s="238" t="str">
        <x:f>IF(AND(AT$7&gt;=$E16,AT$7&lt;=$F16),1,"")</x:f>
      </x:c>
      <x:c r="AU16" s="238" t="str">
        <x:f>IF(AND(AU$7&gt;=$E16,AU$7&lt;=$F16),1,"")</x:f>
      </x:c>
      <x:c r="AV16" s="238" t="str">
        <x:f>IF(AND(AV$7&gt;=$E16,AV$7&lt;=$F16),1,"")</x:f>
      </x:c>
      <x:c r="AW16" s="244" t="str">
        <x:f>IF(AND(AW$7&gt;=$E16,AW$7&lt;=$F16),1,"")</x:f>
      </x:c>
      <x:c r="AX16" s="244" t="str">
        <x:f>IF(AND(AX$7&gt;=$E16,AX$7&lt;=$F16),1,"")</x:f>
      </x:c>
      <x:c r="AY16" s="244" t="str">
        <x:f>IF(AND(AY$7&gt;=$E16,AY$7&lt;=$F16),1,"")</x:f>
      </x:c>
      <x:c r="AZ16" s="244" t="str">
        <x:f>IF(AND(AZ$7&gt;=$E16,AZ$7&lt;=$F16),1,"")</x:f>
      </x:c>
      <x:c r="BA16" s="244" t="str">
        <x:f>IF(AND(BA$7&gt;=$E16,BA$7&lt;=$F16),1,"")</x:f>
      </x:c>
      <x:c r="BB16" s="244" t="str">
        <x:f>IF(AND(BB$7&gt;=$E16,BB$7&lt;=$F16),1,"")</x:f>
      </x:c>
      <x:c r="BC16" s="244" t="str">
        <x:f>IF(AND(BC$7&gt;=$E16,BC$7&lt;=$F16),1,"")</x:f>
      </x:c>
      <x:c r="BD16" s="244" t="str">
        <x:f>IF(AND(BD$7&gt;=$E16,BD$7&lt;=$F16),1,"")</x:f>
      </x:c>
      <x:c r="BE16" s="244" t="str">
        <x:f>IF(AND(BE$7&gt;=$E16,BE$7&lt;=$F16),1,"")</x:f>
      </x:c>
      <x:c r="BF16" s="244" t="str">
        <x:f>IF(AND(BF$7&gt;=$E16,BF$7&lt;=$F16),1,"")</x:f>
      </x:c>
      <x:c r="BG16" s="244" t="str">
        <x:f>IF(AND(BG$7&gt;=$E16,BG$7&lt;=$F16),1,"")</x:f>
      </x:c>
      <x:c r="BH16" s="244" t="str">
        <x:f>IF(AND(BH$7&gt;=$E16,BH$7&lt;=$F16),1,"")</x:f>
      </x:c>
      <x:c r="BI16" s="244" t="str">
        <x:f>IF(AND(BI$7&gt;=$E16,BI$7&lt;=$F16),1,"")</x:f>
      </x:c>
      <x:c r="BJ16" s="244" t="str">
        <x:f>IF(AND(BJ$7&gt;=$E16,BJ$7&lt;=$F16),1,"")</x:f>
      </x:c>
      <x:c r="BK16" s="244" t="str">
        <x:f>IF(AND(BK$7&gt;=$E16,BK$7&lt;=$F16),1,"")</x:f>
      </x:c>
      <x:c r="BL16" s="244" t="str">
        <x:f>IF(AND(BL$7&gt;=$E16,BL$7&lt;=$F16),1,"")</x:f>
      </x:c>
      <x:c r="BM16" s="244" t="str">
        <x:f>IF(AND(BM$7&gt;=$E16,BM$7&lt;=$F16),1,"")</x:f>
      </x:c>
      <x:c r="BN16" s="244" t="str">
        <x:f>IF(AND(BN$7&gt;=$E16,BN$7&lt;=$F16),1,"")</x:f>
      </x:c>
      <x:c r="BO16" s="244" t="str">
        <x:f>IF(AND(BO$7&gt;=$E16,BO$7&lt;=$F16),1,"")</x:f>
      </x:c>
      <x:c r="BP16" s="244" t="str">
        <x:f>IF(AND(BP$7&gt;=$E16,BP$7&lt;=$F16),1,"")</x:f>
      </x:c>
      <x:c r="BQ16" s="59"/>
    </x:row>
    <x:row r="17" ht="36" customHeight="1">
      <x:c r="A17" s="59"/>
      <x:c r="B17" s="283" t="str">
        <x:v>1.6</x:v>
      </x:c>
      <x:c r="C17" s="284" t="str">
        <x:v>PostgreSQL·Vector DB·Object Storage 개발 기반 구축</x:v>
      </x:c>
      <x:c r="D17" s="283" t="str">
        <x:v>백엔드</x:v>
      </x:c>
      <x:c r="E17" s="279" t="n">
        <x:v>46226</x:v>
      </x:c>
      <x:c r="F17" s="279" t="n">
        <x:v>46234</x:v>
      </x:c>
      <x:c r="G17" s="285" t="n">
        <x:f t="shared" si="1">IF(OR(E17="",F17=""),"",F17-E17+1)</x:f>
        <x:v>9</x:v>
      </x:c>
      <x:c r="H17" s="281" t="n">
        <x:v>0</x:v>
      </x:c>
      <x:c r="I17" s="229" t="str">
        <x:f>IF(AND(I$7&gt;=$E17,I$7&lt;=$F17),1,"")</x:f>
      </x:c>
      <x:c r="J17" s="229" t="str">
        <x:f>IF(AND(J$7&gt;=$E17,J$7&lt;=$F17),1,"")</x:f>
      </x:c>
      <x:c r="K17" s="229" t="str">
        <x:f>IF(AND(K$7&gt;=$E17,K$7&lt;=$F17),1,"")</x:f>
      </x:c>
      <x:c r="L17" s="229" t="str">
        <x:f>IF(AND(L$7&gt;=$E17,L$7&lt;=$F17),1,"")</x:f>
      </x:c>
      <x:c r="M17" s="229" t="str">
        <x:f>IF(AND(M$7&gt;=$E17,M$7&lt;=$F17),1,"")</x:f>
      </x:c>
      <x:c r="N17" s="231" t="str">
        <x:f>IF(AND(N$7&gt;=$E17,N$7&lt;=$F17),1,"")</x:f>
      </x:c>
      <x:c r="O17" s="231" t="str">
        <x:f>IF(AND(O$7&gt;=$E17,O$7&lt;=$F17),1,"")</x:f>
      </x:c>
      <x:c r="P17" s="231" t="str">
        <x:f>IF(AND(P$7&gt;=$E17,P$7&lt;=$F17),1,"")</x:f>
      </x:c>
      <x:c r="Q17" s="231" t="n">
        <x:f>IF(AND(Q$7&gt;=$E17,Q$7&lt;=$F17),1,"")</x:f>
        <x:v>1</x:v>
      </x:c>
      <x:c r="R17" s="231" t="n">
        <x:f>IF(AND(R$7&gt;=$E17,R$7&lt;=$F17),1,"")</x:f>
        <x:v>1</x:v>
      </x:c>
      <x:c r="S17" s="229" t="n">
        <x:f>IF(AND(S$7&gt;=$E17,S$7&lt;=$F17),1,"")</x:f>
        <x:v>1</x:v>
      </x:c>
      <x:c r="T17" s="229" t="n">
        <x:f>IF(AND(T$7&gt;=$E17,T$7&lt;=$F17),1,"")</x:f>
        <x:v>1</x:v>
      </x:c>
      <x:c r="U17" s="229" t="n">
        <x:f>IF(AND(U$7&gt;=$E17,U$7&lt;=$F17),1,"")</x:f>
        <x:v>1</x:v>
      </x:c>
      <x:c r="V17" s="229" t="n">
        <x:f>IF(AND(V$7&gt;=$E17,V$7&lt;=$F17),1,"")</x:f>
        <x:v>1</x:v>
      </x:c>
      <x:c r="W17" s="229" t="n">
        <x:f>IF(AND(W$7&gt;=$E17,W$7&lt;=$F17),1,"")</x:f>
        <x:v>1</x:v>
      </x:c>
      <x:c r="X17" s="233" t="str">
        <x:f>IF(AND(X$7&gt;=$E17,X$7&lt;=$F17),1,"")</x:f>
      </x:c>
      <x:c r="Y17" s="233" t="str">
        <x:f>IF(AND(Y$7&gt;=$E17,Y$7&lt;=$F17),1,"")</x:f>
      </x:c>
      <x:c r="Z17" s="233" t="str">
        <x:f>IF(AND(Z$7&gt;=$E17,Z$7&lt;=$F17),1,"")</x:f>
      </x:c>
      <x:c r="AA17" s="233" t="str">
        <x:f>IF(AND(AA$7&gt;=$E17,AA$7&lt;=$F17),1,"")</x:f>
      </x:c>
      <x:c r="AB17" s="233" t="str">
        <x:f>IF(AND(AB$7&gt;=$E17,AB$7&lt;=$F17),1,"")</x:f>
      </x:c>
      <x:c r="AC17" s="229" t="str">
        <x:f>IF(AND(AC$7&gt;=$E17,AC$7&lt;=$F17),1,"")</x:f>
      </x:c>
      <x:c r="AD17" s="229" t="str">
        <x:f>IF(AND(AD$7&gt;=$E17,AD$7&lt;=$F17),1,"")</x:f>
      </x:c>
      <x:c r="AE17" s="229" t="str">
        <x:f>IF(AND(AE$7&gt;=$E17,AE$7&lt;=$F17),1,"")</x:f>
      </x:c>
      <x:c r="AF17" s="229" t="str">
        <x:f>IF(AND(AF$7&gt;=$E17,AF$7&lt;=$F17),1,"")</x:f>
      </x:c>
      <x:c r="AG17" s="229" t="str">
        <x:f>IF(AND(AG$7&gt;=$E17,AG$7&lt;=$F17),1,"")</x:f>
      </x:c>
      <x:c r="AH17" s="236" t="str">
        <x:f>IF(AND(AH$7&gt;=$E17,AH$7&lt;=$F17),1,"")</x:f>
      </x:c>
      <x:c r="AI17" s="236" t="str">
        <x:f>IF(AND(AI$7&gt;=$E17,AI$7&lt;=$F17),1,"")</x:f>
      </x:c>
      <x:c r="AJ17" s="236" t="str">
        <x:f>IF(AND(AJ$7&gt;=$E17,AJ$7&lt;=$F17),1,"")</x:f>
      </x:c>
      <x:c r="AK17" s="236" t="str">
        <x:f>IF(AND(AK$7&gt;=$E17,AK$7&lt;=$F17),1,"")</x:f>
      </x:c>
      <x:c r="AL17" s="236" t="str">
        <x:f>IF(AND(AL$7&gt;=$E17,AL$7&lt;=$F17),1,"")</x:f>
      </x:c>
      <x:c r="AM17" s="229" t="str">
        <x:f>IF(AND(AM$7&gt;=$E17,AM$7&lt;=$F17),1,"")</x:f>
      </x:c>
      <x:c r="AN17" s="229" t="str">
        <x:f>IF(AND(AN$7&gt;=$E17,AN$7&lt;=$F17),1,"")</x:f>
      </x:c>
      <x:c r="AO17" s="229" t="str">
        <x:f>IF(AND(AO$7&gt;=$E17,AO$7&lt;=$F17),1,"")</x:f>
      </x:c>
      <x:c r="AP17" s="229" t="str">
        <x:f>IF(AND(AP$7&gt;=$E17,AP$7&lt;=$F17),1,"")</x:f>
      </x:c>
      <x:c r="AQ17" s="229" t="str">
        <x:f>IF(AND(AQ$7&gt;=$E17,AQ$7&lt;=$F17),1,"")</x:f>
      </x:c>
      <x:c r="AR17" s="238" t="str">
        <x:f>IF(AND(AR$7&gt;=$E17,AR$7&lt;=$F17),1,"")</x:f>
      </x:c>
      <x:c r="AS17" s="238" t="str">
        <x:f>IF(AND(AS$7&gt;=$E17,AS$7&lt;=$F17),1,"")</x:f>
      </x:c>
      <x:c r="AT17" s="238" t="str">
        <x:f>IF(AND(AT$7&gt;=$E17,AT$7&lt;=$F17),1,"")</x:f>
      </x:c>
      <x:c r="AU17" s="238" t="str">
        <x:f>IF(AND(AU$7&gt;=$E17,AU$7&lt;=$F17),1,"")</x:f>
      </x:c>
      <x:c r="AV17" s="238" t="str">
        <x:f>IF(AND(AV$7&gt;=$E17,AV$7&lt;=$F17),1,"")</x:f>
      </x:c>
      <x:c r="AW17" s="244" t="str">
        <x:f>IF(AND(AW$7&gt;=$E17,AW$7&lt;=$F17),1,"")</x:f>
      </x:c>
      <x:c r="AX17" s="244" t="str">
        <x:f>IF(AND(AX$7&gt;=$E17,AX$7&lt;=$F17),1,"")</x:f>
      </x:c>
      <x:c r="AY17" s="244" t="str">
        <x:f>IF(AND(AY$7&gt;=$E17,AY$7&lt;=$F17),1,"")</x:f>
      </x:c>
      <x:c r="AZ17" s="244" t="str">
        <x:f>IF(AND(AZ$7&gt;=$E17,AZ$7&lt;=$F17),1,"")</x:f>
      </x:c>
      <x:c r="BA17" s="244" t="str">
        <x:f>IF(AND(BA$7&gt;=$E17,BA$7&lt;=$F17),1,"")</x:f>
      </x:c>
      <x:c r="BB17" s="244" t="str">
        <x:f>IF(AND(BB$7&gt;=$E17,BB$7&lt;=$F17),1,"")</x:f>
      </x:c>
      <x:c r="BC17" s="244" t="str">
        <x:f>IF(AND(BC$7&gt;=$E17,BC$7&lt;=$F17),1,"")</x:f>
      </x:c>
      <x:c r="BD17" s="244" t="str">
        <x:f>IF(AND(BD$7&gt;=$E17,BD$7&lt;=$F17),1,"")</x:f>
      </x:c>
      <x:c r="BE17" s="244" t="str">
        <x:f>IF(AND(BE$7&gt;=$E17,BE$7&lt;=$F17),1,"")</x:f>
      </x:c>
      <x:c r="BF17" s="244" t="str">
        <x:f>IF(AND(BF$7&gt;=$E17,BF$7&lt;=$F17),1,"")</x:f>
      </x:c>
      <x:c r="BG17" s="244" t="str">
        <x:f>IF(AND(BG$7&gt;=$E17,BG$7&lt;=$F17),1,"")</x:f>
      </x:c>
      <x:c r="BH17" s="244" t="str">
        <x:f>IF(AND(BH$7&gt;=$E17,BH$7&lt;=$F17),1,"")</x:f>
      </x:c>
      <x:c r="BI17" s="244" t="str">
        <x:f>IF(AND(BI$7&gt;=$E17,BI$7&lt;=$F17),1,"")</x:f>
      </x:c>
      <x:c r="BJ17" s="244" t="str">
        <x:f>IF(AND(BJ$7&gt;=$E17,BJ$7&lt;=$F17),1,"")</x:f>
      </x:c>
      <x:c r="BK17" s="244" t="str">
        <x:f>IF(AND(BK$7&gt;=$E17,BK$7&lt;=$F17),1,"")</x:f>
      </x:c>
      <x:c r="BL17" s="244" t="str">
        <x:f>IF(AND(BL$7&gt;=$E17,BL$7&lt;=$F17),1,"")</x:f>
      </x:c>
      <x:c r="BM17" s="244" t="str">
        <x:f>IF(AND(BM$7&gt;=$E17,BM$7&lt;=$F17),1,"")</x:f>
      </x:c>
      <x:c r="BN17" s="244" t="str">
        <x:f>IF(AND(BN$7&gt;=$E17,BN$7&lt;=$F17),1,"")</x:f>
      </x:c>
      <x:c r="BO17" s="244" t="str">
        <x:f>IF(AND(BO$7&gt;=$E17,BO$7&lt;=$F17),1,"")</x:f>
      </x:c>
      <x:c r="BP17" s="244" t="str">
        <x:f>IF(AND(BP$7&gt;=$E17,BP$7&lt;=$F17),1,"")</x:f>
      </x:c>
      <x:c r="BQ17" s="59"/>
    </x:row>
    <x:row r="18" ht="27" customHeight="1">
      <x:c r="A18" s="59"/>
      <x:c r="B18" s="264" t="str">
        <x:v>2</x:v>
      </x:c>
      <x:c r="C18" s="265" t="str">
        <x:v>데이터 수집·정규화 및 Snapshot 구현</x:v>
      </x:c>
      <x:c r="D18" s="266"/>
      <x:c r="E18" s="267"/>
      <x:c r="F18" s="267"/>
      <x:c r="G18" s="268">
        <x:f t="shared" si="1"/>
      </x:c>
      <x:c r="H18" s="269"/>
      <x:c r="I18" s="270"/>
      <x:c r="J18" s="270"/>
      <x:c r="K18" s="270"/>
      <x:c r="L18" s="270"/>
      <x:c r="M18" s="270"/>
      <x:c r="N18" s="270"/>
      <x:c r="O18" s="270"/>
      <x:c r="P18" s="270"/>
      <x:c r="Q18" s="270"/>
      <x:c r="R18" s="270"/>
      <x:c r="S18" s="270"/>
      <x:c r="T18" s="270"/>
      <x:c r="U18" s="270"/>
      <x:c r="V18" s="270"/>
      <x:c r="W18" s="270"/>
      <x:c r="X18" s="270"/>
      <x:c r="Y18" s="270"/>
      <x:c r="Z18" s="270"/>
      <x:c r="AA18" s="270"/>
      <x:c r="AB18" s="270"/>
      <x:c r="AC18" s="270"/>
      <x:c r="AD18" s="270"/>
      <x:c r="AE18" s="270"/>
      <x:c r="AF18" s="270"/>
      <x:c r="AG18" s="270"/>
      <x:c r="AH18" s="270"/>
      <x:c r="AI18" s="270"/>
      <x:c r="AJ18" s="270"/>
      <x:c r="AK18" s="270"/>
      <x:c r="AL18" s="270"/>
      <x:c r="AM18" s="270"/>
      <x:c r="AN18" s="270"/>
      <x:c r="AO18" s="270"/>
      <x:c r="AP18" s="270"/>
      <x:c r="AQ18" s="270"/>
      <x:c r="AR18" s="270"/>
      <x:c r="AS18" s="270"/>
      <x:c r="AT18" s="270"/>
      <x:c r="AU18" s="270"/>
      <x:c r="AV18" s="270"/>
      <x:c r="AW18" s="270"/>
      <x:c r="AX18" s="270"/>
      <x:c r="AY18" s="270"/>
      <x:c r="AZ18" s="270"/>
      <x:c r="BA18" s="270"/>
      <x:c r="BB18" s="270"/>
      <x:c r="BC18" s="270"/>
      <x:c r="BD18" s="270"/>
      <x:c r="BE18" s="270"/>
      <x:c r="BF18" s="270"/>
      <x:c r="BG18" s="270"/>
      <x:c r="BH18" s="270"/>
      <x:c r="BI18" s="270"/>
      <x:c r="BJ18" s="270"/>
      <x:c r="BK18" s="270"/>
      <x:c r="BL18" s="270"/>
      <x:c r="BM18" s="270"/>
      <x:c r="BN18" s="270"/>
      <x:c r="BO18" s="270"/>
      <x:c r="BP18" s="270"/>
      <x:c r="BQ18" s="59"/>
    </x:row>
    <x:row r="19" ht="36" customHeight="1">
      <x:c r="A19" s="31"/>
      <x:c r="B19" s="286" t="str">
        <x:v>2.1</x:v>
      </x:c>
      <x:c r="C19" s="287" t="str">
        <x:v>HR Seed·PersonSnapshot·OrgGraph 구현</x:v>
      </x:c>
      <x:c r="D19" s="286" t="str">
        <x:v>백엔드·데이터</x:v>
      </x:c>
      <x:c r="E19" s="280" t="n">
        <x:v>46226</x:v>
      </x:c>
      <x:c r="F19" s="280" t="n">
        <x:v>46237</x:v>
      </x:c>
      <x:c r="G19" s="288" t="n">
        <x:f>IF(OR(E19="",F19=""),"",F19-E19+1)</x:f>
        <x:v>12</x:v>
      </x:c>
      <x:c r="H19" s="282" t="n">
        <x:v>0</x:v>
      </x:c>
      <x:c r="I19" s="228" t="str">
        <x:f>IF(AND(I$7&gt;=$E19,I$7&lt;=$F19),1,"")</x:f>
      </x:c>
      <x:c r="J19" s="228" t="str">
        <x:f>IF(AND(J$7&gt;=$E19,J$7&lt;=$F19),1,"")</x:f>
      </x:c>
      <x:c r="K19" s="228" t="str">
        <x:f>IF(AND(K$7&gt;=$E19,K$7&lt;=$F19),1,"")</x:f>
      </x:c>
      <x:c r="L19" s="228" t="str">
        <x:f>IF(AND(L$7&gt;=$E19,L$7&lt;=$F19),1,"")</x:f>
      </x:c>
      <x:c r="M19" s="228" t="str">
        <x:f>IF(AND(M$7&gt;=$E19,M$7&lt;=$F19),1,"")</x:f>
      </x:c>
      <x:c r="N19" s="230" t="str">
        <x:f>IF(AND(N$7&gt;=$E19,N$7&lt;=$F19),1,"")</x:f>
      </x:c>
      <x:c r="O19" s="230" t="str">
        <x:f>IF(AND(O$7&gt;=$E19,O$7&lt;=$F19),1,"")</x:f>
      </x:c>
      <x:c r="P19" s="230" t="str">
        <x:f>IF(AND(P$7&gt;=$E19,P$7&lt;=$F19),1,"")</x:f>
      </x:c>
      <x:c r="Q19" s="230" t="n">
        <x:f>IF(AND(Q$7&gt;=$E19,Q$7&lt;=$F19),1,"")</x:f>
        <x:v>1</x:v>
      </x:c>
      <x:c r="R19" s="230" t="n">
        <x:f>IF(AND(R$7&gt;=$E19,R$7&lt;=$F19),1,"")</x:f>
        <x:v>1</x:v>
      </x:c>
      <x:c r="S19" s="228" t="n">
        <x:f>IF(AND(S$7&gt;=$E19,S$7&lt;=$F19),1,"")</x:f>
        <x:v>1</x:v>
      </x:c>
      <x:c r="T19" s="228" t="n">
        <x:f>IF(AND(T$7&gt;=$E19,T$7&lt;=$F19),1,"")</x:f>
        <x:v>1</x:v>
      </x:c>
      <x:c r="U19" s="228" t="n">
        <x:f>IF(AND(U$7&gt;=$E19,U$7&lt;=$F19),1,"")</x:f>
        <x:v>1</x:v>
      </x:c>
      <x:c r="V19" s="228" t="n">
        <x:f>IF(AND(V$7&gt;=$E19,V$7&lt;=$F19),1,"")</x:f>
        <x:v>1</x:v>
      </x:c>
      <x:c r="W19" s="228" t="n">
        <x:f>IF(AND(W$7&gt;=$E19,W$7&lt;=$F19),1,"")</x:f>
        <x:v>1</x:v>
      </x:c>
      <x:c r="X19" s="232" t="n">
        <x:f>IF(AND(X$7&gt;=$E19,X$7&lt;=$F19),1,"")</x:f>
        <x:v>1</x:v>
      </x:c>
      <x:c r="Y19" s="232" t="str">
        <x:f>IF(AND(Y$7&gt;=$E19,Y$7&lt;=$F19),1,"")</x:f>
      </x:c>
      <x:c r="Z19" s="232" t="str">
        <x:f>IF(AND(Z$7&gt;=$E19,Z$7&lt;=$F19),1,"")</x:f>
      </x:c>
      <x:c r="AA19" s="232" t="str">
        <x:f>IF(AND(AA$7&gt;=$E19,AA$7&lt;=$F19),1,"")</x:f>
      </x:c>
      <x:c r="AB19" s="232" t="str">
        <x:f>IF(AND(AB$7&gt;=$E19,AB$7&lt;=$F19),1,"")</x:f>
      </x:c>
      <x:c r="AC19" s="228" t="str">
        <x:f>IF(AND(AC$7&gt;=$E19,AC$7&lt;=$F19),1,"")</x:f>
      </x:c>
      <x:c r="AD19" s="228" t="str">
        <x:f>IF(AND(AD$7&gt;=$E19,AD$7&lt;=$F19),1,"")</x:f>
      </x:c>
      <x:c r="AE19" s="228" t="str">
        <x:f>IF(AND(AE$7&gt;=$E19,AE$7&lt;=$F19),1,"")</x:f>
      </x:c>
      <x:c r="AF19" s="228" t="str">
        <x:f>IF(AND(AF$7&gt;=$E19,AF$7&lt;=$F19),1,"")</x:f>
      </x:c>
      <x:c r="AG19" s="228" t="str">
        <x:f>IF(AND(AG$7&gt;=$E19,AG$7&lt;=$F19),1,"")</x:f>
      </x:c>
      <x:c r="AH19" s="235" t="str">
        <x:f>IF(AND(AH$7&gt;=$E19,AH$7&lt;=$F19),1,"")</x:f>
      </x:c>
      <x:c r="AI19" s="235" t="str">
        <x:f>IF(AND(AI$7&gt;=$E19,AI$7&lt;=$F19),1,"")</x:f>
      </x:c>
      <x:c r="AJ19" s="235" t="str">
        <x:f>IF(AND(AJ$7&gt;=$E19,AJ$7&lt;=$F19),1,"")</x:f>
      </x:c>
      <x:c r="AK19" s="235" t="str">
        <x:f>IF(AND(AK$7&gt;=$E19,AK$7&lt;=$F19),1,"")</x:f>
      </x:c>
      <x:c r="AL19" s="235" t="str">
        <x:f>IF(AND(AL$7&gt;=$E19,AL$7&lt;=$F19),1,"")</x:f>
      </x:c>
      <x:c r="AM19" s="228" t="str">
        <x:f>IF(AND(AM$7&gt;=$E19,AM$7&lt;=$F19),1,"")</x:f>
      </x:c>
      <x:c r="AN19" s="228" t="str">
        <x:f>IF(AND(AN$7&gt;=$E19,AN$7&lt;=$F19),1,"")</x:f>
      </x:c>
      <x:c r="AO19" s="228" t="str">
        <x:f>IF(AND(AO$7&gt;=$E19,AO$7&lt;=$F19),1,"")</x:f>
      </x:c>
      <x:c r="AP19" s="228" t="str">
        <x:f>IF(AND(AP$7&gt;=$E19,AP$7&lt;=$F19),1,"")</x:f>
      </x:c>
      <x:c r="AQ19" s="228" t="str">
        <x:f>IF(AND(AQ$7&gt;=$E19,AQ$7&lt;=$F19),1,"")</x:f>
      </x:c>
      <x:c r="AR19" s="237" t="str">
        <x:f>IF(AND(AR$7&gt;=$E19,AR$7&lt;=$F19),1,"")</x:f>
      </x:c>
      <x:c r="AS19" s="237" t="str">
        <x:f>IF(AND(AS$7&gt;=$E19,AS$7&lt;=$F19),1,"")</x:f>
      </x:c>
      <x:c r="AT19" s="237" t="str">
        <x:f>IF(AND(AT$7&gt;=$E19,AT$7&lt;=$F19),1,"")</x:f>
      </x:c>
      <x:c r="AU19" s="237" t="str">
        <x:f>IF(AND(AU$7&gt;=$E19,AU$7&lt;=$F19),1,"")</x:f>
      </x:c>
      <x:c r="AV19" s="237" t="str">
        <x:f>IF(AND(AV$7&gt;=$E19,AV$7&lt;=$F19),1,"")</x:f>
      </x:c>
      <x:c r="AW19" s="243" t="str">
        <x:f>IF(AND(AW$7&gt;=$E19,AW$7&lt;=$F19),1,"")</x:f>
      </x:c>
      <x:c r="AX19" s="243" t="str">
        <x:f>IF(AND(AX$7&gt;=$E19,AX$7&lt;=$F19),1,"")</x:f>
      </x:c>
      <x:c r="AY19" s="243" t="str">
        <x:f>IF(AND(AY$7&gt;=$E19,AY$7&lt;=$F19),1,"")</x:f>
      </x:c>
      <x:c r="AZ19" s="243" t="str">
        <x:f>IF(AND(AZ$7&gt;=$E19,AZ$7&lt;=$F19),1,"")</x:f>
      </x:c>
      <x:c r="BA19" s="243" t="str">
        <x:f>IF(AND(BA$7&gt;=$E19,BA$7&lt;=$F19),1,"")</x:f>
      </x:c>
      <x:c r="BB19" s="243" t="str">
        <x:f>IF(AND(BB$7&gt;=$E19,BB$7&lt;=$F19),1,"")</x:f>
      </x:c>
      <x:c r="BC19" s="243" t="str">
        <x:f>IF(AND(BC$7&gt;=$E19,BC$7&lt;=$F19),1,"")</x:f>
      </x:c>
      <x:c r="BD19" s="243" t="str">
        <x:f>IF(AND(BD$7&gt;=$E19,BD$7&lt;=$F19),1,"")</x:f>
      </x:c>
      <x:c r="BE19" s="243" t="str">
        <x:f>IF(AND(BE$7&gt;=$E19,BE$7&lt;=$F19),1,"")</x:f>
      </x:c>
      <x:c r="BF19" s="243" t="str">
        <x:f>IF(AND(BF$7&gt;=$E19,BF$7&lt;=$F19),1,"")</x:f>
      </x:c>
      <x:c r="BG19" s="243" t="str">
        <x:f>IF(AND(BG$7&gt;=$E19,BG$7&lt;=$F19),1,"")</x:f>
      </x:c>
      <x:c r="BH19" s="243" t="str">
        <x:f>IF(AND(BH$7&gt;=$E19,BH$7&lt;=$F19),1,"")</x:f>
      </x:c>
      <x:c r="BI19" s="243" t="str">
        <x:f>IF(AND(BI$7&gt;=$E19,BI$7&lt;=$F19),1,"")</x:f>
      </x:c>
      <x:c r="BJ19" s="243" t="str">
        <x:f>IF(AND(BJ$7&gt;=$E19,BJ$7&lt;=$F19),1,"")</x:f>
      </x:c>
      <x:c r="BK19" s="243" t="str">
        <x:f>IF(AND(BK$7&gt;=$E19,BK$7&lt;=$F19),1,"")</x:f>
      </x:c>
      <x:c r="BL19" s="243" t="str">
        <x:f>IF(AND(BL$7&gt;=$E19,BL$7&lt;=$F19),1,"")</x:f>
      </x:c>
      <x:c r="BM19" s="243" t="str">
        <x:f>IF(AND(BM$7&gt;=$E19,BM$7&lt;=$F19),1,"")</x:f>
      </x:c>
      <x:c r="BN19" s="243" t="str">
        <x:f>IF(AND(BN$7&gt;=$E19,BN$7&lt;=$F19),1,"")</x:f>
      </x:c>
      <x:c r="BO19" s="243" t="str">
        <x:f>IF(AND(BO$7&gt;=$E19,BO$7&lt;=$F19),1,"")</x:f>
      </x:c>
      <x:c r="BP19" s="243" t="str">
        <x:f>IF(AND(BP$7&gt;=$E19,BP$7&lt;=$F19),1,"")</x:f>
      </x:c>
      <x:c r="BQ19" s="31"/>
    </x:row>
    <x:row r="20" ht="36" customHeight="1">
      <x:c r="A20" s="59"/>
      <x:c r="B20" s="283" t="str">
        <x:v>2.2</x:v>
      </x:c>
      <x:c r="C20" s="284" t="str">
        <x:v>Jira Discovery·읽기·TaskSnapshot 구현</x:v>
      </x:c>
      <x:c r="D20" s="283" t="str">
        <x:v>백엔드</x:v>
      </x:c>
      <x:c r="E20" s="279" t="n">
        <x:v>46226</x:v>
      </x:c>
      <x:c r="F20" s="279" t="n">
        <x:v>46239</x:v>
      </x:c>
      <x:c r="G20" s="285" t="n">
        <x:f>IF(OR(E20="",F20=""),"",F20-E20+1)</x:f>
        <x:v>14</x:v>
      </x:c>
      <x:c r="H20" s="281" t="n">
        <x:v>0</x:v>
      </x:c>
      <x:c r="I20" s="229" t="str">
        <x:f>IF(AND(I$7&gt;=$E20,I$7&lt;=$F20),1,"")</x:f>
      </x:c>
      <x:c r="J20" s="229" t="str">
        <x:f>IF(AND(J$7&gt;=$E20,J$7&lt;=$F20),1,"")</x:f>
      </x:c>
      <x:c r="K20" s="229" t="str">
        <x:f>IF(AND(K$7&gt;=$E20,K$7&lt;=$F20),1,"")</x:f>
      </x:c>
      <x:c r="L20" s="229" t="str">
        <x:f>IF(AND(L$7&gt;=$E20,L$7&lt;=$F20),1,"")</x:f>
      </x:c>
      <x:c r="M20" s="229" t="str">
        <x:f>IF(AND(M$7&gt;=$E20,M$7&lt;=$F20),1,"")</x:f>
      </x:c>
      <x:c r="N20" s="231" t="str">
        <x:f>IF(AND(N$7&gt;=$E20,N$7&lt;=$F20),1,"")</x:f>
      </x:c>
      <x:c r="O20" s="231" t="str">
        <x:f>IF(AND(O$7&gt;=$E20,O$7&lt;=$F20),1,"")</x:f>
      </x:c>
      <x:c r="P20" s="231" t="str">
        <x:f>IF(AND(P$7&gt;=$E20,P$7&lt;=$F20),1,"")</x:f>
      </x:c>
      <x:c r="Q20" s="231" t="n">
        <x:f>IF(AND(Q$7&gt;=$E20,Q$7&lt;=$F20),1,"")</x:f>
        <x:v>1</x:v>
      </x:c>
      <x:c r="R20" s="231" t="n">
        <x:f>IF(AND(R$7&gt;=$E20,R$7&lt;=$F20),1,"")</x:f>
        <x:v>1</x:v>
      </x:c>
      <x:c r="S20" s="229" t="n">
        <x:f>IF(AND(S$7&gt;=$E20,S$7&lt;=$F20),1,"")</x:f>
        <x:v>1</x:v>
      </x:c>
      <x:c r="T20" s="229" t="n">
        <x:f>IF(AND(T$7&gt;=$E20,T$7&lt;=$F20),1,"")</x:f>
        <x:v>1</x:v>
      </x:c>
      <x:c r="U20" s="229" t="n">
        <x:f>IF(AND(U$7&gt;=$E20,U$7&lt;=$F20),1,"")</x:f>
        <x:v>1</x:v>
      </x:c>
      <x:c r="V20" s="229" t="n">
        <x:f>IF(AND(V$7&gt;=$E20,V$7&lt;=$F20),1,"")</x:f>
        <x:v>1</x:v>
      </x:c>
      <x:c r="W20" s="229" t="n">
        <x:f>IF(AND(W$7&gt;=$E20,W$7&lt;=$F20),1,"")</x:f>
        <x:v>1</x:v>
      </x:c>
      <x:c r="X20" s="233" t="n">
        <x:f>IF(AND(X$7&gt;=$E20,X$7&lt;=$F20),1,"")</x:f>
        <x:v>1</x:v>
      </x:c>
      <x:c r="Y20" s="233" t="n">
        <x:f>IF(AND(Y$7&gt;=$E20,Y$7&lt;=$F20),1,"")</x:f>
        <x:v>1</x:v>
      </x:c>
      <x:c r="Z20" s="233" t="n">
        <x:f>IF(AND(Z$7&gt;=$E20,Z$7&lt;=$F20),1,"")</x:f>
        <x:v>1</x:v>
      </x:c>
      <x:c r="AA20" s="233" t="str">
        <x:f>IF(AND(AA$7&gt;=$E20,AA$7&lt;=$F20),1,"")</x:f>
      </x:c>
      <x:c r="AB20" s="233" t="str">
        <x:f>IF(AND(AB$7&gt;=$E20,AB$7&lt;=$F20),1,"")</x:f>
      </x:c>
      <x:c r="AC20" s="229" t="str">
        <x:f>IF(AND(AC$7&gt;=$E20,AC$7&lt;=$F20),1,"")</x:f>
      </x:c>
      <x:c r="AD20" s="229" t="str">
        <x:f>IF(AND(AD$7&gt;=$E20,AD$7&lt;=$F20),1,"")</x:f>
      </x:c>
      <x:c r="AE20" s="229" t="str">
        <x:f>IF(AND(AE$7&gt;=$E20,AE$7&lt;=$F20),1,"")</x:f>
      </x:c>
      <x:c r="AF20" s="229" t="str">
        <x:f>IF(AND(AF$7&gt;=$E20,AF$7&lt;=$F20),1,"")</x:f>
      </x:c>
      <x:c r="AG20" s="229" t="str">
        <x:f>IF(AND(AG$7&gt;=$E20,AG$7&lt;=$F20),1,"")</x:f>
      </x:c>
      <x:c r="AH20" s="236" t="str">
        <x:f>IF(AND(AH$7&gt;=$E20,AH$7&lt;=$F20),1,"")</x:f>
      </x:c>
      <x:c r="AI20" s="236" t="str">
        <x:f>IF(AND(AI$7&gt;=$E20,AI$7&lt;=$F20),1,"")</x:f>
      </x:c>
      <x:c r="AJ20" s="236" t="str">
        <x:f>IF(AND(AJ$7&gt;=$E20,AJ$7&lt;=$F20),1,"")</x:f>
      </x:c>
      <x:c r="AK20" s="236" t="str">
        <x:f>IF(AND(AK$7&gt;=$E20,AK$7&lt;=$F20),1,"")</x:f>
      </x:c>
      <x:c r="AL20" s="236" t="str">
        <x:f>IF(AND(AL$7&gt;=$E20,AL$7&lt;=$F20),1,"")</x:f>
      </x:c>
      <x:c r="AM20" s="229" t="str">
        <x:f>IF(AND(AM$7&gt;=$E20,AM$7&lt;=$F20),1,"")</x:f>
      </x:c>
      <x:c r="AN20" s="229" t="str">
        <x:f>IF(AND(AN$7&gt;=$E20,AN$7&lt;=$F20),1,"")</x:f>
      </x:c>
      <x:c r="AO20" s="229" t="str">
        <x:f>IF(AND(AO$7&gt;=$E20,AO$7&lt;=$F20),1,"")</x:f>
      </x:c>
      <x:c r="AP20" s="229" t="str">
        <x:f>IF(AND(AP$7&gt;=$E20,AP$7&lt;=$F20),1,"")</x:f>
      </x:c>
      <x:c r="AQ20" s="229" t="str">
        <x:f>IF(AND(AQ$7&gt;=$E20,AQ$7&lt;=$F20),1,"")</x:f>
      </x:c>
      <x:c r="AR20" s="238" t="str">
        <x:f>IF(AND(AR$7&gt;=$E20,AR$7&lt;=$F20),1,"")</x:f>
      </x:c>
      <x:c r="AS20" s="238" t="str">
        <x:f>IF(AND(AS$7&gt;=$E20,AS$7&lt;=$F20),1,"")</x:f>
      </x:c>
      <x:c r="AT20" s="238" t="str">
        <x:f>IF(AND(AT$7&gt;=$E20,AT$7&lt;=$F20),1,"")</x:f>
      </x:c>
      <x:c r="AU20" s="238" t="str">
        <x:f>IF(AND(AU$7&gt;=$E20,AU$7&lt;=$F20),1,"")</x:f>
      </x:c>
      <x:c r="AV20" s="238" t="str">
        <x:f>IF(AND(AV$7&gt;=$E20,AV$7&lt;=$F20),1,"")</x:f>
      </x:c>
      <x:c r="AW20" s="244" t="str">
        <x:f>IF(AND(AW$7&gt;=$E20,AW$7&lt;=$F20),1,"")</x:f>
      </x:c>
      <x:c r="AX20" s="244" t="str">
        <x:f>IF(AND(AX$7&gt;=$E20,AX$7&lt;=$F20),1,"")</x:f>
      </x:c>
      <x:c r="AY20" s="244" t="str">
        <x:f>IF(AND(AY$7&gt;=$E20,AY$7&lt;=$F20),1,"")</x:f>
      </x:c>
      <x:c r="AZ20" s="244" t="str">
        <x:f>IF(AND(AZ$7&gt;=$E20,AZ$7&lt;=$F20),1,"")</x:f>
      </x:c>
      <x:c r="BA20" s="244" t="str">
        <x:f>IF(AND(BA$7&gt;=$E20,BA$7&lt;=$F20),1,"")</x:f>
      </x:c>
      <x:c r="BB20" s="244" t="str">
        <x:f>IF(AND(BB$7&gt;=$E20,BB$7&lt;=$F20),1,"")</x:f>
      </x:c>
      <x:c r="BC20" s="244" t="str">
        <x:f>IF(AND(BC$7&gt;=$E20,BC$7&lt;=$F20),1,"")</x:f>
      </x:c>
      <x:c r="BD20" s="244" t="str">
        <x:f>IF(AND(BD$7&gt;=$E20,BD$7&lt;=$F20),1,"")</x:f>
      </x:c>
      <x:c r="BE20" s="244" t="str">
        <x:f>IF(AND(BE$7&gt;=$E20,BE$7&lt;=$F20),1,"")</x:f>
      </x:c>
      <x:c r="BF20" s="244" t="str">
        <x:f>IF(AND(BF$7&gt;=$E20,BF$7&lt;=$F20),1,"")</x:f>
      </x:c>
      <x:c r="BG20" s="244" t="str">
        <x:f>IF(AND(BG$7&gt;=$E20,BG$7&lt;=$F20),1,"")</x:f>
      </x:c>
      <x:c r="BH20" s="244" t="str">
        <x:f>IF(AND(BH$7&gt;=$E20,BH$7&lt;=$F20),1,"")</x:f>
      </x:c>
      <x:c r="BI20" s="244" t="str">
        <x:f>IF(AND(BI$7&gt;=$E20,BI$7&lt;=$F20),1,"")</x:f>
      </x:c>
      <x:c r="BJ20" s="244" t="str">
        <x:f>IF(AND(BJ$7&gt;=$E20,BJ$7&lt;=$F20),1,"")</x:f>
      </x:c>
      <x:c r="BK20" s="244" t="str">
        <x:f>IF(AND(BK$7&gt;=$E20,BK$7&lt;=$F20),1,"")</x:f>
      </x:c>
      <x:c r="BL20" s="244" t="str">
        <x:f>IF(AND(BL$7&gt;=$E20,BL$7&lt;=$F20),1,"")</x:f>
      </x:c>
      <x:c r="BM20" s="244" t="str">
        <x:f>IF(AND(BM$7&gt;=$E20,BM$7&lt;=$F20),1,"")</x:f>
      </x:c>
      <x:c r="BN20" s="244" t="str">
        <x:f>IF(AND(BN$7&gt;=$E20,BN$7&lt;=$F20),1,"")</x:f>
      </x:c>
      <x:c r="BO20" s="244" t="str">
        <x:f>IF(AND(BO$7&gt;=$E20,BO$7&lt;=$F20),1,"")</x:f>
      </x:c>
      <x:c r="BP20" s="244" t="str">
        <x:f>IF(AND(BP$7&gt;=$E20,BP$7&lt;=$F20),1,"")</x:f>
      </x:c>
      <x:c r="BQ20" s="59"/>
    </x:row>
    <x:row r="21" ht="36" customHeight="1">
      <x:c r="A21" s="59"/>
      <x:c r="B21" s="283" t="str">
        <x:v>2.3</x:v>
      </x:c>
      <x:c r="C21" s="284" t="str">
        <x:v>HR–Jira Identity Mapping·예외 처리 구현</x:v>
      </x:c>
      <x:c r="D21" s="283" t="str">
        <x:v>백엔드·데이터</x:v>
      </x:c>
      <x:c r="E21" s="279" t="n">
        <x:v>46230</x:v>
      </x:c>
      <x:c r="F21" s="279" t="n">
        <x:v>46239</x:v>
      </x:c>
      <x:c r="G21" s="285" t="n">
        <x:f>IF(OR(E21="",F21=""),"",F21-E21+1)</x:f>
        <x:v>10</x:v>
      </x:c>
      <x:c r="H21" s="281" t="n">
        <x:v>0</x:v>
      </x:c>
      <x:c r="I21" s="229" t="str">
        <x:f>IF(AND(I$7&gt;=$E21,I$7&lt;=$F21),1,"")</x:f>
      </x:c>
      <x:c r="J21" s="229" t="str">
        <x:f>IF(AND(J$7&gt;=$E21,J$7&lt;=$F21),1,"")</x:f>
      </x:c>
      <x:c r="K21" s="229" t="str">
        <x:f>IF(AND(K$7&gt;=$E21,K$7&lt;=$F21),1,"")</x:f>
      </x:c>
      <x:c r="L21" s="229" t="str">
        <x:f>IF(AND(L$7&gt;=$E21,L$7&lt;=$F21),1,"")</x:f>
      </x:c>
      <x:c r="M21" s="229" t="str">
        <x:f>IF(AND(M$7&gt;=$E21,M$7&lt;=$F21),1,"")</x:f>
      </x:c>
      <x:c r="N21" s="231" t="str">
        <x:f>IF(AND(N$7&gt;=$E21,N$7&lt;=$F21),1,"")</x:f>
      </x:c>
      <x:c r="O21" s="231" t="str">
        <x:f>IF(AND(O$7&gt;=$E21,O$7&lt;=$F21),1,"")</x:f>
      </x:c>
      <x:c r="P21" s="231" t="str">
        <x:f>IF(AND(P$7&gt;=$E21,P$7&lt;=$F21),1,"")</x:f>
      </x:c>
      <x:c r="Q21" s="231" t="str">
        <x:f>IF(AND(Q$7&gt;=$E21,Q$7&lt;=$F21),1,"")</x:f>
      </x:c>
      <x:c r="R21" s="231" t="str">
        <x:f>IF(AND(R$7&gt;=$E21,R$7&lt;=$F21),1,"")</x:f>
      </x:c>
      <x:c r="S21" s="229" t="n">
        <x:f>IF(AND(S$7&gt;=$E21,S$7&lt;=$F21),1,"")</x:f>
        <x:v>1</x:v>
      </x:c>
      <x:c r="T21" s="229" t="n">
        <x:f>IF(AND(T$7&gt;=$E21,T$7&lt;=$F21),1,"")</x:f>
        <x:v>1</x:v>
      </x:c>
      <x:c r="U21" s="229" t="n">
        <x:f>IF(AND(U$7&gt;=$E21,U$7&lt;=$F21),1,"")</x:f>
        <x:v>1</x:v>
      </x:c>
      <x:c r="V21" s="229" t="n">
        <x:f>IF(AND(V$7&gt;=$E21,V$7&lt;=$F21),1,"")</x:f>
        <x:v>1</x:v>
      </x:c>
      <x:c r="W21" s="229" t="n">
        <x:f>IF(AND(W$7&gt;=$E21,W$7&lt;=$F21),1,"")</x:f>
        <x:v>1</x:v>
      </x:c>
      <x:c r="X21" s="233" t="n">
        <x:f>IF(AND(X$7&gt;=$E21,X$7&lt;=$F21),1,"")</x:f>
        <x:v>1</x:v>
      </x:c>
      <x:c r="Y21" s="233" t="n">
        <x:f>IF(AND(Y$7&gt;=$E21,Y$7&lt;=$F21),1,"")</x:f>
        <x:v>1</x:v>
      </x:c>
      <x:c r="Z21" s="233" t="n">
        <x:f>IF(AND(Z$7&gt;=$E21,Z$7&lt;=$F21),1,"")</x:f>
        <x:v>1</x:v>
      </x:c>
      <x:c r="AA21" s="233" t="str">
        <x:f>IF(AND(AA$7&gt;=$E21,AA$7&lt;=$F21),1,"")</x:f>
      </x:c>
      <x:c r="AB21" s="233" t="str">
        <x:f>IF(AND(AB$7&gt;=$E21,AB$7&lt;=$F21),1,"")</x:f>
      </x:c>
      <x:c r="AC21" s="229" t="str">
        <x:f>IF(AND(AC$7&gt;=$E21,AC$7&lt;=$F21),1,"")</x:f>
      </x:c>
      <x:c r="AD21" s="229" t="str">
        <x:f>IF(AND(AD$7&gt;=$E21,AD$7&lt;=$F21),1,"")</x:f>
      </x:c>
      <x:c r="AE21" s="234" t="str">
        <x:f>IF(AND(AE$7&gt;=$E21,AE$7&lt;=$F21),1,"")</x:f>
      </x:c>
      <x:c r="AF21" s="234" t="str">
        <x:f>IF(AND(AF$7&gt;=$E21,AF$7&lt;=$F21),1,"")</x:f>
      </x:c>
      <x:c r="AG21" s="234" t="str">
        <x:f>IF(AND(AG$7&gt;=$E21,AG$7&lt;=$F21),1,"")</x:f>
      </x:c>
      <x:c r="AH21" s="236" t="str">
        <x:f>IF(AND(AH$7&gt;=$E21,AH$7&lt;=$F21),1,"")</x:f>
      </x:c>
      <x:c r="AI21" s="236" t="str">
        <x:f>IF(AND(AI$7&gt;=$E21,AI$7&lt;=$F21),1,"")</x:f>
      </x:c>
      <x:c r="AJ21" s="236" t="str">
        <x:f>IF(AND(AJ$7&gt;=$E21,AJ$7&lt;=$F21),1,"")</x:f>
      </x:c>
      <x:c r="AK21" s="236" t="str">
        <x:f>IF(AND(AK$7&gt;=$E21,AK$7&lt;=$F21),1,"")</x:f>
      </x:c>
      <x:c r="AL21" s="236" t="str">
        <x:f>IF(AND(AL$7&gt;=$E21,AL$7&lt;=$F21),1,"")</x:f>
      </x:c>
      <x:c r="AM21" s="229" t="str">
        <x:f>IF(AND(AM$7&gt;=$E21,AM$7&lt;=$F21),1,"")</x:f>
      </x:c>
      <x:c r="AN21" s="229" t="str">
        <x:f>IF(AND(AN$7&gt;=$E21,AN$7&lt;=$F21),1,"")</x:f>
      </x:c>
      <x:c r="AO21" s="229" t="str">
        <x:f>IF(AND(AO$7&gt;=$E21,AO$7&lt;=$F21),1,"")</x:f>
      </x:c>
      <x:c r="AP21" s="229" t="str">
        <x:f>IF(AND(AP$7&gt;=$E21,AP$7&lt;=$F21),1,"")</x:f>
      </x:c>
      <x:c r="AQ21" s="229" t="str">
        <x:f>IF(AND(AQ$7&gt;=$E21,AQ$7&lt;=$F21),1,"")</x:f>
      </x:c>
      <x:c r="AR21" s="238" t="str">
        <x:f>IF(AND(AR$7&gt;=$E21,AR$7&lt;=$F21),1,"")</x:f>
      </x:c>
      <x:c r="AS21" s="238" t="str">
        <x:f>IF(AND(AS$7&gt;=$E21,AS$7&lt;=$F21),1,"")</x:f>
      </x:c>
      <x:c r="AT21" s="238" t="str">
        <x:f>IF(AND(AT$7&gt;=$E21,AT$7&lt;=$F21),1,"")</x:f>
      </x:c>
      <x:c r="AU21" s="238" t="str">
        <x:f>IF(AND(AU$7&gt;=$E21,AU$7&lt;=$F21),1,"")</x:f>
      </x:c>
      <x:c r="AV21" s="238" t="str">
        <x:f>IF(AND(AV$7&gt;=$E21,AV$7&lt;=$F21),1,"")</x:f>
      </x:c>
      <x:c r="AW21" s="244" t="str">
        <x:f>IF(AND(AW$7&gt;=$E21,AW$7&lt;=$F21),1,"")</x:f>
      </x:c>
      <x:c r="AX21" s="244" t="str">
        <x:f>IF(AND(AX$7&gt;=$E21,AX$7&lt;=$F21),1,"")</x:f>
      </x:c>
      <x:c r="AY21" s="244" t="str">
        <x:f>IF(AND(AY$7&gt;=$E21,AY$7&lt;=$F21),1,"")</x:f>
      </x:c>
      <x:c r="AZ21" s="244" t="str">
        <x:f>IF(AND(AZ$7&gt;=$E21,AZ$7&lt;=$F21),1,"")</x:f>
      </x:c>
      <x:c r="BA21" s="244" t="str">
        <x:f>IF(AND(BA$7&gt;=$E21,BA$7&lt;=$F21),1,"")</x:f>
      </x:c>
      <x:c r="BB21" s="244" t="str">
        <x:f>IF(AND(BB$7&gt;=$E21,BB$7&lt;=$F21),1,"")</x:f>
      </x:c>
      <x:c r="BC21" s="244" t="str">
        <x:f>IF(AND(BC$7&gt;=$E21,BC$7&lt;=$F21),1,"")</x:f>
      </x:c>
      <x:c r="BD21" s="244" t="str">
        <x:f>IF(AND(BD$7&gt;=$E21,BD$7&lt;=$F21),1,"")</x:f>
      </x:c>
      <x:c r="BE21" s="244" t="str">
        <x:f>IF(AND(BE$7&gt;=$E21,BE$7&lt;=$F21),1,"")</x:f>
      </x:c>
      <x:c r="BF21" s="244" t="str">
        <x:f>IF(AND(BF$7&gt;=$E21,BF$7&lt;=$F21),1,"")</x:f>
      </x:c>
      <x:c r="BG21" s="244" t="str">
        <x:f>IF(AND(BG$7&gt;=$E21,BG$7&lt;=$F21),1,"")</x:f>
      </x:c>
      <x:c r="BH21" s="244" t="str">
        <x:f>IF(AND(BH$7&gt;=$E21,BH$7&lt;=$F21),1,"")</x:f>
      </x:c>
      <x:c r="BI21" s="244" t="str">
        <x:f>IF(AND(BI$7&gt;=$E21,BI$7&lt;=$F21),1,"")</x:f>
      </x:c>
      <x:c r="BJ21" s="244" t="str">
        <x:f>IF(AND(BJ$7&gt;=$E21,BJ$7&lt;=$F21),1,"")</x:f>
      </x:c>
      <x:c r="BK21" s="244" t="str">
        <x:f>IF(AND(BK$7&gt;=$E21,BK$7&lt;=$F21),1,"")</x:f>
      </x:c>
      <x:c r="BL21" s="244" t="str">
        <x:f>IF(AND(BL$7&gt;=$E21,BL$7&lt;=$F21),1,"")</x:f>
      </x:c>
      <x:c r="BM21" s="244" t="str">
        <x:f>IF(AND(BM$7&gt;=$E21,BM$7&lt;=$F21),1,"")</x:f>
      </x:c>
      <x:c r="BN21" s="244" t="str">
        <x:f>IF(AND(BN$7&gt;=$E21,BN$7&lt;=$F21),1,"")</x:f>
      </x:c>
      <x:c r="BO21" s="244" t="str">
        <x:f>IF(AND(BO$7&gt;=$E21,BO$7&lt;=$F21),1,"")</x:f>
      </x:c>
      <x:c r="BP21" s="244" t="str">
        <x:f>IF(AND(BP$7&gt;=$E21,BP$7&lt;=$F21),1,"")</x:f>
      </x:c>
      <x:c r="BQ21" s="59"/>
    </x:row>
    <x:row r="22" ht="36" customHeight="1">
      <x:c r="A22" s="59"/>
      <x:c r="B22" s="283" t="str">
        <x:v>2.4</x:v>
      </x:c>
      <x:c r="C22" s="284" t="str">
        <x:v>Drive 파싱·청킹·메타데이터·Vector 저장</x:v>
      </x:c>
      <x:c r="D22" s="283" t="str">
        <x:v>AI·백엔드</x:v>
      </x:c>
      <x:c r="E22" s="279" t="n">
        <x:v>46230</x:v>
      </x:c>
      <x:c r="F22" s="279" t="n">
        <x:v>46239</x:v>
      </x:c>
      <x:c r="G22" s="285" t="n">
        <x:f>IF(OR(E22="",F22=""),"",F22-E22+1)</x:f>
        <x:v>10</x:v>
      </x:c>
      <x:c r="H22" s="281" t="n">
        <x:v>0</x:v>
      </x:c>
      <x:c r="I22" s="229" t="str">
        <x:f>IF(AND(I$7&gt;=$E22,I$7&lt;=$F22),1,"")</x:f>
      </x:c>
      <x:c r="J22" s="229" t="str">
        <x:f>IF(AND(J$7&gt;=$E22,J$7&lt;=$F22),1,"")</x:f>
      </x:c>
      <x:c r="K22" s="229" t="str">
        <x:f>IF(AND(K$7&gt;=$E22,K$7&lt;=$F22),1,"")</x:f>
      </x:c>
      <x:c r="L22" s="229" t="str">
        <x:f>IF(AND(L$7&gt;=$E22,L$7&lt;=$F22),1,"")</x:f>
      </x:c>
      <x:c r="M22" s="229" t="str">
        <x:f>IF(AND(M$7&gt;=$E22,M$7&lt;=$F22),1,"")</x:f>
      </x:c>
      <x:c r="N22" s="231" t="str">
        <x:f>IF(AND(N$7&gt;=$E22,N$7&lt;=$F22),1,"")</x:f>
      </x:c>
      <x:c r="O22" s="231" t="str">
        <x:f>IF(AND(O$7&gt;=$E22,O$7&lt;=$F22),1,"")</x:f>
      </x:c>
      <x:c r="P22" s="231" t="str">
        <x:f>IF(AND(P$7&gt;=$E22,P$7&lt;=$F22),1,"")</x:f>
      </x:c>
      <x:c r="Q22" s="231" t="str">
        <x:f>IF(AND(Q$7&gt;=$E22,Q$7&lt;=$F22),1,"")</x:f>
      </x:c>
      <x:c r="R22" s="231" t="str">
        <x:f>IF(AND(R$7&gt;=$E22,R$7&lt;=$F22),1,"")</x:f>
      </x:c>
      <x:c r="S22" s="229" t="n">
        <x:f>IF(AND(S$7&gt;=$E22,S$7&lt;=$F22),1,"")</x:f>
        <x:v>1</x:v>
      </x:c>
      <x:c r="T22" s="229" t="n">
        <x:f>IF(AND(T$7&gt;=$E22,T$7&lt;=$F22),1,"")</x:f>
        <x:v>1</x:v>
      </x:c>
      <x:c r="U22" s="229" t="n">
        <x:f>IF(AND(U$7&gt;=$E22,U$7&lt;=$F22),1,"")</x:f>
        <x:v>1</x:v>
      </x:c>
      <x:c r="V22" s="229" t="n">
        <x:f>IF(AND(V$7&gt;=$E22,V$7&lt;=$F22),1,"")</x:f>
        <x:v>1</x:v>
      </x:c>
      <x:c r="W22" s="229" t="n">
        <x:f>IF(AND(W$7&gt;=$E22,W$7&lt;=$F22),1,"")</x:f>
        <x:v>1</x:v>
      </x:c>
      <x:c r="X22" s="233" t="n">
        <x:f>IF(AND(X$7&gt;=$E22,X$7&lt;=$F22),1,"")</x:f>
        <x:v>1</x:v>
      </x:c>
      <x:c r="Y22" s="233" t="n">
        <x:f>IF(AND(Y$7&gt;=$E22,Y$7&lt;=$F22),1,"")</x:f>
        <x:v>1</x:v>
      </x:c>
      <x:c r="Z22" s="233" t="n">
        <x:f>IF(AND(Z$7&gt;=$E22,Z$7&lt;=$F22),1,"")</x:f>
        <x:v>1</x:v>
      </x:c>
      <x:c r="AA22" s="233" t="str">
        <x:f>IF(AND(AA$7&gt;=$E22,AA$7&lt;=$F22),1,"")</x:f>
      </x:c>
      <x:c r="AB22" s="233" t="str">
        <x:f>IF(AND(AB$7&gt;=$E22,AB$7&lt;=$F22),1,"")</x:f>
      </x:c>
      <x:c r="AC22" s="229" t="str">
        <x:f>IF(AND(AC$7&gt;=$E22,AC$7&lt;=$F22),1,"")</x:f>
      </x:c>
      <x:c r="AD22" s="229" t="str">
        <x:f>IF(AND(AD$7&gt;=$E22,AD$7&lt;=$F22),1,"")</x:f>
      </x:c>
      <x:c r="AE22" s="229" t="str">
        <x:f>IF(AND(AE$7&gt;=$E22,AE$7&lt;=$F22),1,"")</x:f>
      </x:c>
      <x:c r="AF22" s="229" t="str">
        <x:f>IF(AND(AF$7&gt;=$E22,AF$7&lt;=$F22),1,"")</x:f>
      </x:c>
      <x:c r="AG22" s="229" t="str">
        <x:f>IF(AND(AG$7&gt;=$E22,AG$7&lt;=$F22),1,"")</x:f>
      </x:c>
      <x:c r="AH22" s="236" t="str">
        <x:f>IF(AND(AH$7&gt;=$E22,AH$7&lt;=$F22),1,"")</x:f>
      </x:c>
      <x:c r="AI22" s="236" t="str">
        <x:f>IF(AND(AI$7&gt;=$E22,AI$7&lt;=$F22),1,"")</x:f>
      </x:c>
      <x:c r="AJ22" s="236" t="str">
        <x:f>IF(AND(AJ$7&gt;=$E22,AJ$7&lt;=$F22),1,"")</x:f>
      </x:c>
      <x:c r="AK22" s="236" t="str">
        <x:f>IF(AND(AK$7&gt;=$E22,AK$7&lt;=$F22),1,"")</x:f>
      </x:c>
      <x:c r="AL22" s="236" t="str">
        <x:f>IF(AND(AL$7&gt;=$E22,AL$7&lt;=$F22),1,"")</x:f>
      </x:c>
      <x:c r="AM22" s="229" t="str">
        <x:f>IF(AND(AM$7&gt;=$E22,AM$7&lt;=$F22),1,"")</x:f>
      </x:c>
      <x:c r="AN22" s="229" t="str">
        <x:f>IF(AND(AN$7&gt;=$E22,AN$7&lt;=$F22),1,"")</x:f>
      </x:c>
      <x:c r="AO22" s="229" t="str">
        <x:f>IF(AND(AO$7&gt;=$E22,AO$7&lt;=$F22),1,"")</x:f>
      </x:c>
      <x:c r="AP22" s="229" t="str">
        <x:f>IF(AND(AP$7&gt;=$E22,AP$7&lt;=$F22),1,"")</x:f>
      </x:c>
      <x:c r="AQ22" s="229" t="str">
        <x:f>IF(AND(AQ$7&gt;=$E22,AQ$7&lt;=$F22),1,"")</x:f>
      </x:c>
      <x:c r="AR22" s="238" t="str">
        <x:f>IF(AND(AR$7&gt;=$E22,AR$7&lt;=$F22),1,"")</x:f>
      </x:c>
      <x:c r="AS22" s="238" t="str">
        <x:f>IF(AND(AS$7&gt;=$E22,AS$7&lt;=$F22),1,"")</x:f>
      </x:c>
      <x:c r="AT22" s="238" t="str">
        <x:f>IF(AND(AT$7&gt;=$E22,AT$7&lt;=$F22),1,"")</x:f>
      </x:c>
      <x:c r="AU22" s="238" t="str">
        <x:f>IF(AND(AU$7&gt;=$E22,AU$7&lt;=$F22),1,"")</x:f>
      </x:c>
      <x:c r="AV22" s="238" t="str">
        <x:f>IF(AND(AV$7&gt;=$E22,AV$7&lt;=$F22),1,"")</x:f>
      </x:c>
      <x:c r="AW22" s="244" t="str">
        <x:f>IF(AND(AW$7&gt;=$E22,AW$7&lt;=$F22),1,"")</x:f>
      </x:c>
      <x:c r="AX22" s="244" t="str">
        <x:f>IF(AND(AX$7&gt;=$E22,AX$7&lt;=$F22),1,"")</x:f>
      </x:c>
      <x:c r="AY22" s="244" t="str">
        <x:f>IF(AND(AY$7&gt;=$E22,AY$7&lt;=$F22),1,"")</x:f>
      </x:c>
      <x:c r="AZ22" s="244" t="str">
        <x:f>IF(AND(AZ$7&gt;=$E22,AZ$7&lt;=$F22),1,"")</x:f>
      </x:c>
      <x:c r="BA22" s="244" t="str">
        <x:f>IF(AND(BA$7&gt;=$E22,BA$7&lt;=$F22),1,"")</x:f>
      </x:c>
      <x:c r="BB22" s="244" t="str">
        <x:f>IF(AND(BB$7&gt;=$E22,BB$7&lt;=$F22),1,"")</x:f>
      </x:c>
      <x:c r="BC22" s="244" t="str">
        <x:f>IF(AND(BC$7&gt;=$E22,BC$7&lt;=$F22),1,"")</x:f>
      </x:c>
      <x:c r="BD22" s="244" t="str">
        <x:f>IF(AND(BD$7&gt;=$E22,BD$7&lt;=$F22),1,"")</x:f>
      </x:c>
      <x:c r="BE22" s="244" t="str">
        <x:f>IF(AND(BE$7&gt;=$E22,BE$7&lt;=$F22),1,"")</x:f>
      </x:c>
      <x:c r="BF22" s="244" t="str">
        <x:f>IF(AND(BF$7&gt;=$E22,BF$7&lt;=$F22),1,"")</x:f>
      </x:c>
      <x:c r="BG22" s="244" t="str">
        <x:f>IF(AND(BG$7&gt;=$E22,BG$7&lt;=$F22),1,"")</x:f>
      </x:c>
      <x:c r="BH22" s="244" t="str">
        <x:f>IF(AND(BH$7&gt;=$E22,BH$7&lt;=$F22),1,"")</x:f>
      </x:c>
      <x:c r="BI22" s="244" t="str">
        <x:f>IF(AND(BI$7&gt;=$E22,BI$7&lt;=$F22),1,"")</x:f>
      </x:c>
      <x:c r="BJ22" s="244" t="str">
        <x:f>IF(AND(BJ$7&gt;=$E22,BJ$7&lt;=$F22),1,"")</x:f>
      </x:c>
      <x:c r="BK22" s="244" t="str">
        <x:f>IF(AND(BK$7&gt;=$E22,BK$7&lt;=$F22),1,"")</x:f>
      </x:c>
      <x:c r="BL22" s="244" t="str">
        <x:f>IF(AND(BL$7&gt;=$E22,BL$7&lt;=$F22),1,"")</x:f>
      </x:c>
      <x:c r="BM22" s="244" t="str">
        <x:f>IF(AND(BM$7&gt;=$E22,BM$7&lt;=$F22),1,"")</x:f>
      </x:c>
      <x:c r="BN22" s="244" t="str">
        <x:f>IF(AND(BN$7&gt;=$E22,BN$7&lt;=$F22),1,"")</x:f>
      </x:c>
      <x:c r="BO22" s="244" t="str">
        <x:f>IF(AND(BO$7&gt;=$E22,BO$7&lt;=$F22),1,"")</x:f>
      </x:c>
      <x:c r="BP22" s="244" t="str">
        <x:f>IF(AND(BP$7&gt;=$E22,BP$7&lt;=$F22),1,"")</x:f>
      </x:c>
      <x:c r="BQ22" s="59"/>
    </x:row>
    <x:row r="23" ht="36" customHeight="1">
      <x:c r="A23" s="59"/>
      <x:c r="B23" s="283" t="str">
        <x:v>2.5</x:v>
      </x:c>
      <x:c r="C23" s="284" t="str">
        <x:v>원천 검증·Feature Readiness Check 구현</x:v>
      </x:c>
      <x:c r="D23" s="283" t="str">
        <x:v>백엔드·QA</x:v>
      </x:c>
      <x:c r="E23" s="279" t="n">
        <x:v>46233</x:v>
      </x:c>
      <x:c r="F23" s="279" t="n">
        <x:v>46240</x:v>
      </x:c>
      <x:c r="G23" s="285" t="n">
        <x:f>IF(OR(E23="",F23=""),"",F23-E23+1)</x:f>
        <x:v>8</x:v>
      </x:c>
      <x:c r="H23" s="281" t="n">
        <x:v>0</x:v>
      </x:c>
      <x:c r="I23" s="229" t="str">
        <x:f>IF(AND(I$7&gt;=$E23,I$7&lt;=$F23),1,"")</x:f>
      </x:c>
      <x:c r="J23" s="229" t="str">
        <x:f>IF(AND(J$7&gt;=$E23,J$7&lt;=$F23),1,"")</x:f>
      </x:c>
      <x:c r="K23" s="229" t="str">
        <x:f>IF(AND(K$7&gt;=$E23,K$7&lt;=$F23),1,"")</x:f>
      </x:c>
      <x:c r="L23" s="229" t="str">
        <x:f>IF(AND(L$7&gt;=$E23,L$7&lt;=$F23),1,"")</x:f>
      </x:c>
      <x:c r="M23" s="229" t="str">
        <x:f>IF(AND(M$7&gt;=$E23,M$7&lt;=$F23),1,"")</x:f>
      </x:c>
      <x:c r="N23" s="231" t="str">
        <x:f>IF(AND(N$7&gt;=$E23,N$7&lt;=$F23),1,"")</x:f>
      </x:c>
      <x:c r="O23" s="231" t="str">
        <x:f>IF(AND(O$7&gt;=$E23,O$7&lt;=$F23),1,"")</x:f>
      </x:c>
      <x:c r="P23" s="231" t="str">
        <x:f>IF(AND(P$7&gt;=$E23,P$7&lt;=$F23),1,"")</x:f>
      </x:c>
      <x:c r="Q23" s="231" t="str">
        <x:f>IF(AND(Q$7&gt;=$E23,Q$7&lt;=$F23),1,"")</x:f>
      </x:c>
      <x:c r="R23" s="231" t="str">
        <x:f>IF(AND(R$7&gt;=$E23,R$7&lt;=$F23),1,"")</x:f>
      </x:c>
      <x:c r="S23" s="229" t="str">
        <x:f>IF(AND(S$7&gt;=$E23,S$7&lt;=$F23),1,"")</x:f>
      </x:c>
      <x:c r="T23" s="229" t="str">
        <x:f>IF(AND(T$7&gt;=$E23,T$7&lt;=$F23),1,"")</x:f>
      </x:c>
      <x:c r="U23" s="229" t="str">
        <x:f>IF(AND(U$7&gt;=$E23,U$7&lt;=$F23),1,"")</x:f>
      </x:c>
      <x:c r="V23" s="229" t="n">
        <x:f>IF(AND(V$7&gt;=$E23,V$7&lt;=$F23),1,"")</x:f>
        <x:v>1</x:v>
      </x:c>
      <x:c r="W23" s="229" t="n">
        <x:f>IF(AND(W$7&gt;=$E23,W$7&lt;=$F23),1,"")</x:f>
        <x:v>1</x:v>
      </x:c>
      <x:c r="X23" s="233" t="n">
        <x:f>IF(AND(X$7&gt;=$E23,X$7&lt;=$F23),1,"")</x:f>
        <x:v>1</x:v>
      </x:c>
      <x:c r="Y23" s="233" t="n">
        <x:f>IF(AND(Y$7&gt;=$E23,Y$7&lt;=$F23),1,"")</x:f>
        <x:v>1</x:v>
      </x:c>
      <x:c r="Z23" s="233" t="n">
        <x:f>IF(AND(Z$7&gt;=$E23,Z$7&lt;=$F23),1,"")</x:f>
        <x:v>1</x:v>
      </x:c>
      <x:c r="AA23" s="233" t="n">
        <x:f>IF(AND(AA$7&gt;=$E23,AA$7&lt;=$F23),1,"")</x:f>
        <x:v>1</x:v>
      </x:c>
      <x:c r="AB23" s="233" t="str">
        <x:f>IF(AND(AB$7&gt;=$E23,AB$7&lt;=$F23),1,"")</x:f>
      </x:c>
      <x:c r="AC23" s="229" t="str">
        <x:f>IF(AND(AC$7&gt;=$E23,AC$7&lt;=$F23),1,"")</x:f>
      </x:c>
      <x:c r="AD23" s="229" t="str">
        <x:f>IF(AND(AD$7&gt;=$E23,AD$7&lt;=$F23),1,"")</x:f>
      </x:c>
      <x:c r="AE23" s="229" t="str">
        <x:f>IF(AND(AE$7&gt;=$E23,AE$7&lt;=$F23),1,"")</x:f>
      </x:c>
      <x:c r="AF23" s="229" t="str">
        <x:f>IF(AND(AF$7&gt;=$E23,AF$7&lt;=$F23),1,"")</x:f>
      </x:c>
      <x:c r="AG23" s="229" t="str">
        <x:f>IF(AND(AG$7&gt;=$E23,AG$7&lt;=$F23),1,"")</x:f>
      </x:c>
      <x:c r="AH23" s="236" t="str">
        <x:f>IF(AND(AH$7&gt;=$E23,AH$7&lt;=$F23),1,"")</x:f>
      </x:c>
      <x:c r="AI23" s="236" t="str">
        <x:f>IF(AND(AI$7&gt;=$E23,AI$7&lt;=$F23),1,"")</x:f>
      </x:c>
      <x:c r="AJ23" s="236" t="str">
        <x:f>IF(AND(AJ$7&gt;=$E23,AJ$7&lt;=$F23),1,"")</x:f>
      </x:c>
      <x:c r="AK23" s="236" t="str">
        <x:f>IF(AND(AK$7&gt;=$E23,AK$7&lt;=$F23),1,"")</x:f>
      </x:c>
      <x:c r="AL23" s="236" t="str">
        <x:f>IF(AND(AL$7&gt;=$E23,AL$7&lt;=$F23),1,"")</x:f>
      </x:c>
      <x:c r="AM23" s="229" t="str">
        <x:f>IF(AND(AM$7&gt;=$E23,AM$7&lt;=$F23),1,"")</x:f>
      </x:c>
      <x:c r="AN23" s="229" t="str">
        <x:f>IF(AND(AN$7&gt;=$E23,AN$7&lt;=$F23),1,"")</x:f>
      </x:c>
      <x:c r="AO23" s="229" t="str">
        <x:f>IF(AND(AO$7&gt;=$E23,AO$7&lt;=$F23),1,"")</x:f>
      </x:c>
      <x:c r="AP23" s="229" t="str">
        <x:f>IF(AND(AP$7&gt;=$E23,AP$7&lt;=$F23),1,"")</x:f>
      </x:c>
      <x:c r="AQ23" s="229" t="str">
        <x:f>IF(AND(AQ$7&gt;=$E23,AQ$7&lt;=$F23),1,"")</x:f>
      </x:c>
      <x:c r="AR23" s="238" t="str">
        <x:f>IF(AND(AR$7&gt;=$E23,AR$7&lt;=$F23),1,"")</x:f>
      </x:c>
      <x:c r="AS23" s="238" t="str">
        <x:f>IF(AND(AS$7&gt;=$E23,AS$7&lt;=$F23),1,"")</x:f>
      </x:c>
      <x:c r="AT23" s="238" t="str">
        <x:f>IF(AND(AT$7&gt;=$E23,AT$7&lt;=$F23),1,"")</x:f>
      </x:c>
      <x:c r="AU23" s="238" t="str">
        <x:f>IF(AND(AU$7&gt;=$E23,AU$7&lt;=$F23),1,"")</x:f>
      </x:c>
      <x:c r="AV23" s="238" t="str">
        <x:f>IF(AND(AV$7&gt;=$E23,AV$7&lt;=$F23),1,"")</x:f>
      </x:c>
      <x:c r="AW23" s="244" t="str">
        <x:f>IF(AND(AW$7&gt;=$E23,AW$7&lt;=$F23),1,"")</x:f>
      </x:c>
      <x:c r="AX23" s="244" t="str">
        <x:f>IF(AND(AX$7&gt;=$E23,AX$7&lt;=$F23),1,"")</x:f>
      </x:c>
      <x:c r="AY23" s="244" t="str">
        <x:f>IF(AND(AY$7&gt;=$E23,AY$7&lt;=$F23),1,"")</x:f>
      </x:c>
      <x:c r="AZ23" s="244" t="str">
        <x:f>IF(AND(AZ$7&gt;=$E23,AZ$7&lt;=$F23),1,"")</x:f>
      </x:c>
      <x:c r="BA23" s="244" t="str">
        <x:f>IF(AND(BA$7&gt;=$E23,BA$7&lt;=$F23),1,"")</x:f>
      </x:c>
      <x:c r="BB23" s="244" t="str">
        <x:f>IF(AND(BB$7&gt;=$E23,BB$7&lt;=$F23),1,"")</x:f>
      </x:c>
      <x:c r="BC23" s="244" t="str">
        <x:f>IF(AND(BC$7&gt;=$E23,BC$7&lt;=$F23),1,"")</x:f>
      </x:c>
      <x:c r="BD23" s="244" t="str">
        <x:f>IF(AND(BD$7&gt;=$E23,BD$7&lt;=$F23),1,"")</x:f>
      </x:c>
      <x:c r="BE23" s="244" t="str">
        <x:f>IF(AND(BE$7&gt;=$E23,BE$7&lt;=$F23),1,"")</x:f>
      </x:c>
      <x:c r="BF23" s="244" t="str">
        <x:f>IF(AND(BF$7&gt;=$E23,BF$7&lt;=$F23),1,"")</x:f>
      </x:c>
      <x:c r="BG23" s="244" t="str">
        <x:f>IF(AND(BG$7&gt;=$E23,BG$7&lt;=$F23),1,"")</x:f>
      </x:c>
      <x:c r="BH23" s="244" t="str">
        <x:f>IF(AND(BH$7&gt;=$E23,BH$7&lt;=$F23),1,"")</x:f>
      </x:c>
      <x:c r="BI23" s="244" t="str">
        <x:f>IF(AND(BI$7&gt;=$E23,BI$7&lt;=$F23),1,"")</x:f>
      </x:c>
      <x:c r="BJ23" s="244" t="str">
        <x:f>IF(AND(BJ$7&gt;=$E23,BJ$7&lt;=$F23),1,"")</x:f>
      </x:c>
      <x:c r="BK23" s="244" t="str">
        <x:f>IF(AND(BK$7&gt;=$E23,BK$7&lt;=$F23),1,"")</x:f>
      </x:c>
      <x:c r="BL23" s="244" t="str">
        <x:f>IF(AND(BL$7&gt;=$E23,BL$7&lt;=$F23),1,"")</x:f>
      </x:c>
      <x:c r="BM23" s="244" t="str">
        <x:f>IF(AND(BM$7&gt;=$E23,BM$7&lt;=$F23),1,"")</x:f>
      </x:c>
      <x:c r="BN23" s="244" t="str">
        <x:f>IF(AND(BN$7&gt;=$E23,BN$7&lt;=$F23),1,"")</x:f>
      </x:c>
      <x:c r="BO23" s="244" t="str">
        <x:f>IF(AND(BO$7&gt;=$E23,BO$7&lt;=$F23),1,"")</x:f>
      </x:c>
      <x:c r="BP23" s="244" t="str">
        <x:f>IF(AND(BP$7&gt;=$E23,BP$7&lt;=$F23),1,"")</x:f>
      </x:c>
      <x:c r="BQ23" s="59"/>
    </x:row>
    <x:row r="24" ht="27" customHeight="1">
      <x:c r="A24" s="31"/>
      <x:c r="B24" s="251" t="str">
        <x:v>3</x:v>
      </x:c>
      <x:c r="C24" s="252" t="str">
        <x:v>Task 추출·부하 분석·추천·검증 엔진</x:v>
      </x:c>
      <x:c r="D24" s="251"/>
      <x:c r="E24" s="253"/>
      <x:c r="F24" s="253"/>
      <x:c r="G24" s="254"/>
      <x:c r="H24" s="255"/>
      <x:c r="I24" s="256"/>
      <x:c r="J24" s="256"/>
      <x:c r="K24" s="256"/>
      <x:c r="L24" s="256"/>
      <x:c r="M24" s="256"/>
      <x:c r="N24" s="256"/>
      <x:c r="O24" s="256"/>
      <x:c r="P24" s="256"/>
      <x:c r="Q24" s="256"/>
      <x:c r="R24" s="256"/>
      <x:c r="S24" s="256"/>
      <x:c r="T24" s="256"/>
      <x:c r="U24" s="256"/>
      <x:c r="V24" s="256"/>
      <x:c r="W24" s="256"/>
      <x:c r="X24" s="256"/>
      <x:c r="Y24" s="256"/>
      <x:c r="Z24" s="256"/>
      <x:c r="AA24" s="256"/>
      <x:c r="AB24" s="256"/>
      <x:c r="AC24" s="256"/>
      <x:c r="AD24" s="256"/>
      <x:c r="AE24" s="256"/>
      <x:c r="AF24" s="256"/>
      <x:c r="AG24" s="256"/>
      <x:c r="AH24" s="256"/>
      <x:c r="AI24" s="256"/>
      <x:c r="AJ24" s="256"/>
      <x:c r="AK24" s="256"/>
      <x:c r="AL24" s="256"/>
      <x:c r="AM24" s="256"/>
      <x:c r="AN24" s="256"/>
      <x:c r="AO24" s="256"/>
      <x:c r="AP24" s="256"/>
      <x:c r="AQ24" s="256"/>
      <x:c r="AR24" s="256"/>
      <x:c r="AS24" s="256"/>
      <x:c r="AT24" s="256"/>
      <x:c r="AU24" s="256"/>
      <x:c r="AV24" s="256"/>
      <x:c r="AW24" s="256"/>
      <x:c r="AX24" s="256"/>
      <x:c r="AY24" s="256"/>
      <x:c r="AZ24" s="256"/>
      <x:c r="BA24" s="256"/>
      <x:c r="BB24" s="256"/>
      <x:c r="BC24" s="256"/>
      <x:c r="BD24" s="256"/>
      <x:c r="BE24" s="256"/>
      <x:c r="BF24" s="256"/>
      <x:c r="BG24" s="256"/>
      <x:c r="BH24" s="256"/>
      <x:c r="BI24" s="256"/>
      <x:c r="BJ24" s="256"/>
      <x:c r="BK24" s="256"/>
      <x:c r="BL24" s="256"/>
      <x:c r="BM24" s="256"/>
      <x:c r="BN24" s="256"/>
      <x:c r="BO24" s="256"/>
      <x:c r="BP24" s="256"/>
      <x:c r="BQ24" s="31"/>
    </x:row>
    <x:row r="25" ht="36" customHeight="1">
      <x:c r="A25" s="59"/>
      <x:c r="B25" s="283" t="str">
        <x:v>3.1</x:v>
      </x:c>
      <x:c r="C25" s="284" t="str">
        <x:v>RAG Task 추출·출처 유형·정형 출력 구현</x:v>
      </x:c>
      <x:c r="D25" s="283" t="str">
        <x:v>AI·LLM</x:v>
      </x:c>
      <x:c r="E25" s="279" t="n">
        <x:v>46233</x:v>
      </x:c>
      <x:c r="F25" s="279" t="n">
        <x:v>46240</x:v>
      </x:c>
      <x:c r="G25" s="285" t="n">
        <x:f>IF(OR(E25="",F25=""),"",F25-E25+1)</x:f>
        <x:v>8</x:v>
      </x:c>
      <x:c r="H25" s="281" t="n">
        <x:v>0</x:v>
      </x:c>
      <x:c r="I25" s="229" t="str">
        <x:f>IF(AND(I$7&gt;=$E25,I$7&lt;=$F25),1,"")</x:f>
      </x:c>
      <x:c r="J25" s="229" t="str">
        <x:f>IF(AND(J$7&gt;=$E25,J$7&lt;=$F25),1,"")</x:f>
      </x:c>
      <x:c r="K25" s="229" t="str">
        <x:f>IF(AND(K$7&gt;=$E25,K$7&lt;=$F25),1,"")</x:f>
      </x:c>
      <x:c r="L25" s="229" t="str">
        <x:f>IF(AND(L$7&gt;=$E25,L$7&lt;=$F25),1,"")</x:f>
      </x:c>
      <x:c r="M25" s="229" t="str">
        <x:f>IF(AND(M$7&gt;=$E25,M$7&lt;=$F25),1,"")</x:f>
      </x:c>
      <x:c r="N25" s="231" t="str">
        <x:f>IF(AND(N$7&gt;=$E25,N$7&lt;=$F25),1,"")</x:f>
      </x:c>
      <x:c r="O25" s="231" t="str">
        <x:f>IF(AND(O$7&gt;=$E25,O$7&lt;=$F25),1,"")</x:f>
      </x:c>
      <x:c r="P25" s="231" t="str">
        <x:f>IF(AND(P$7&gt;=$E25,P$7&lt;=$F25),1,"")</x:f>
      </x:c>
      <x:c r="Q25" s="231" t="str">
        <x:f>IF(AND(Q$7&gt;=$E25,Q$7&lt;=$F25),1,"")</x:f>
      </x:c>
      <x:c r="R25" s="231" t="str">
        <x:f>IF(AND(R$7&gt;=$E25,R$7&lt;=$F25),1,"")</x:f>
      </x:c>
      <x:c r="S25" s="229" t="str">
        <x:f>IF(AND(S$7&gt;=$E25,S$7&lt;=$F25),1,"")</x:f>
      </x:c>
      <x:c r="T25" s="229" t="str">
        <x:f>IF(AND(T$7&gt;=$E25,T$7&lt;=$F25),1,"")</x:f>
      </x:c>
      <x:c r="U25" s="229" t="str">
        <x:f>IF(AND(U$7&gt;=$E25,U$7&lt;=$F25),1,"")</x:f>
      </x:c>
      <x:c r="V25" s="229" t="n">
        <x:f>IF(AND(V$7&gt;=$E25,V$7&lt;=$F25),1,"")</x:f>
        <x:v>1</x:v>
      </x:c>
      <x:c r="W25" s="229" t="n">
        <x:f>IF(AND(W$7&gt;=$E25,W$7&lt;=$F25),1,"")</x:f>
        <x:v>1</x:v>
      </x:c>
      <x:c r="X25" s="233" t="n">
        <x:f>IF(AND(X$7&gt;=$E25,X$7&lt;=$F25),1,"")</x:f>
        <x:v>1</x:v>
      </x:c>
      <x:c r="Y25" s="233" t="n">
        <x:f>IF(AND(Y$7&gt;=$E25,Y$7&lt;=$F25),1,"")</x:f>
        <x:v>1</x:v>
      </x:c>
      <x:c r="Z25" s="233" t="n">
        <x:f>IF(AND(Z$7&gt;=$E25,Z$7&lt;=$F25),1,"")</x:f>
        <x:v>1</x:v>
      </x:c>
      <x:c r="AA25" s="233" t="n">
        <x:f>IF(AND(AA$7&gt;=$E25,AA$7&lt;=$F25),1,"")</x:f>
        <x:v>1</x:v>
      </x:c>
      <x:c r="AB25" s="233" t="str">
        <x:f>IF(AND(AB$7&gt;=$E25,AB$7&lt;=$F25),1,"")</x:f>
      </x:c>
      <x:c r="AC25" s="229" t="str">
        <x:f>IF(AND(AC$7&gt;=$E25,AC$7&lt;=$F25),1,"")</x:f>
      </x:c>
      <x:c r="AD25" s="229" t="str">
        <x:f>IF(AND(AD$7&gt;=$E25,AD$7&lt;=$F25),1,"")</x:f>
      </x:c>
      <x:c r="AE25" s="229" t="str">
        <x:f>IF(AND(AE$7&gt;=$E25,AE$7&lt;=$F25),1,"")</x:f>
      </x:c>
      <x:c r="AF25" s="229" t="str">
        <x:f>IF(AND(AF$7&gt;=$E25,AF$7&lt;=$F25),1,"")</x:f>
      </x:c>
      <x:c r="AG25" s="229" t="str">
        <x:f>IF(AND(AG$7&gt;=$E25,AG$7&lt;=$F25),1,"")</x:f>
      </x:c>
      <x:c r="AH25" s="236" t="str">
        <x:f>IF(AND(AH$7&gt;=$E25,AH$7&lt;=$F25),1,"")</x:f>
      </x:c>
      <x:c r="AI25" s="236" t="str">
        <x:f>IF(AND(AI$7&gt;=$E25,AI$7&lt;=$F25),1,"")</x:f>
      </x:c>
      <x:c r="AJ25" s="236" t="str">
        <x:f>IF(AND(AJ$7&gt;=$E25,AJ$7&lt;=$F25),1,"")</x:f>
      </x:c>
      <x:c r="AK25" s="236" t="str">
        <x:f>IF(AND(AK$7&gt;=$E25,AK$7&lt;=$F25),1,"")</x:f>
      </x:c>
      <x:c r="AL25" s="236" t="str">
        <x:f>IF(AND(AL$7&gt;=$E25,AL$7&lt;=$F25),1,"")</x:f>
      </x:c>
      <x:c r="AM25" s="229" t="str">
        <x:f>IF(AND(AM$7&gt;=$E25,AM$7&lt;=$F25),1,"")</x:f>
      </x:c>
      <x:c r="AN25" s="229" t="str">
        <x:f>IF(AND(AN$7&gt;=$E25,AN$7&lt;=$F25),1,"")</x:f>
      </x:c>
      <x:c r="AO25" s="229" t="str">
        <x:f>IF(AND(AO$7&gt;=$E25,AO$7&lt;=$F25),1,"")</x:f>
      </x:c>
      <x:c r="AP25" s="229" t="str">
        <x:f>IF(AND(AP$7&gt;=$E25,AP$7&lt;=$F25),1,"")</x:f>
      </x:c>
      <x:c r="AQ25" s="229" t="str">
        <x:f>IF(AND(AQ$7&gt;=$E25,AQ$7&lt;=$F25),1,"")</x:f>
      </x:c>
      <x:c r="AR25" s="238" t="str">
        <x:f>IF(AND(AR$7&gt;=$E25,AR$7&lt;=$F25),1,"")</x:f>
      </x:c>
      <x:c r="AS25" s="238" t="str">
        <x:f>IF(AND(AS$7&gt;=$E25,AS$7&lt;=$F25),1,"")</x:f>
      </x:c>
      <x:c r="AT25" s="238" t="str">
        <x:f>IF(AND(AT$7&gt;=$E25,AT$7&lt;=$F25),1,"")</x:f>
      </x:c>
      <x:c r="AU25" s="238" t="str">
        <x:f>IF(AND(AU$7&gt;=$E25,AU$7&lt;=$F25),1,"")</x:f>
      </x:c>
      <x:c r="AV25" s="238" t="str">
        <x:f>IF(AND(AV$7&gt;=$E25,AV$7&lt;=$F25),1,"")</x:f>
      </x:c>
      <x:c r="AW25" s="244" t="str">
        <x:f>IF(AND(AW$7&gt;=$E25,AW$7&lt;=$F25),1,"")</x:f>
      </x:c>
      <x:c r="AX25" s="244" t="str">
        <x:f>IF(AND(AX$7&gt;=$E25,AX$7&lt;=$F25),1,"")</x:f>
      </x:c>
      <x:c r="AY25" s="244" t="str">
        <x:f>IF(AND(AY$7&gt;=$E25,AY$7&lt;=$F25),1,"")</x:f>
      </x:c>
      <x:c r="AZ25" s="244" t="str">
        <x:f>IF(AND(AZ$7&gt;=$E25,AZ$7&lt;=$F25),1,"")</x:f>
      </x:c>
      <x:c r="BA25" s="244" t="str">
        <x:f>IF(AND(BA$7&gt;=$E25,BA$7&lt;=$F25),1,"")</x:f>
      </x:c>
      <x:c r="BB25" s="244" t="str">
        <x:f>IF(AND(BB$7&gt;=$E25,BB$7&lt;=$F25),1,"")</x:f>
      </x:c>
      <x:c r="BC25" s="244" t="str">
        <x:f>IF(AND(BC$7&gt;=$E25,BC$7&lt;=$F25),1,"")</x:f>
      </x:c>
      <x:c r="BD25" s="244" t="str">
        <x:f>IF(AND(BD$7&gt;=$E25,BD$7&lt;=$F25),1,"")</x:f>
      </x:c>
      <x:c r="BE25" s="244" t="str">
        <x:f>IF(AND(BE$7&gt;=$E25,BE$7&lt;=$F25),1,"")</x:f>
      </x:c>
      <x:c r="BF25" s="244" t="str">
        <x:f>IF(AND(BF$7&gt;=$E25,BF$7&lt;=$F25),1,"")</x:f>
      </x:c>
      <x:c r="BG25" s="244" t="str">
        <x:f>IF(AND(BG$7&gt;=$E25,BG$7&lt;=$F25),1,"")</x:f>
      </x:c>
      <x:c r="BH25" s="244" t="str">
        <x:f>IF(AND(BH$7&gt;=$E25,BH$7&lt;=$F25),1,"")</x:f>
      </x:c>
      <x:c r="BI25" s="244" t="str">
        <x:f>IF(AND(BI$7&gt;=$E25,BI$7&lt;=$F25),1,"")</x:f>
      </x:c>
      <x:c r="BJ25" s="244" t="str">
        <x:f>IF(AND(BJ$7&gt;=$E25,BJ$7&lt;=$F25),1,"")</x:f>
      </x:c>
      <x:c r="BK25" s="244" t="str">
        <x:f>IF(AND(BK$7&gt;=$E25,BK$7&lt;=$F25),1,"")</x:f>
      </x:c>
      <x:c r="BL25" s="244" t="str">
        <x:f>IF(AND(BL$7&gt;=$E25,BL$7&lt;=$F25),1,"")</x:f>
      </x:c>
      <x:c r="BM25" s="244" t="str">
        <x:f>IF(AND(BM$7&gt;=$E25,BM$7&lt;=$F25),1,"")</x:f>
      </x:c>
      <x:c r="BN25" s="244" t="str">
        <x:f>IF(AND(BN$7&gt;=$E25,BN$7&lt;=$F25),1,"")</x:f>
      </x:c>
      <x:c r="BO25" s="244" t="str">
        <x:f>IF(AND(BO$7&gt;=$E25,BO$7&lt;=$F25),1,"")</x:f>
      </x:c>
      <x:c r="BP25" s="244" t="str">
        <x:f>IF(AND(BP$7&gt;=$E25,BP$7&lt;=$F25),1,"")</x:f>
      </x:c>
      <x:c r="BQ25" s="59"/>
    </x:row>
    <x:row r="26" ht="36" customHeight="1">
      <x:c r="A26" s="59"/>
      <x:c r="B26" s="283" t="str">
        <x:v>3.2</x:v>
      </x:c>
      <x:c r="C26" s="284" t="str">
        <x:v>PM 업무 분해 승인·수정·반려 확인 단계 구현</x:v>
      </x:c>
      <x:c r="D26" s="283" t="str">
        <x:v>프론트·백엔드</x:v>
      </x:c>
      <x:c r="E26" s="279" t="n">
        <x:v>46237</x:v>
      </x:c>
      <x:c r="F26" s="279" t="n">
        <x:v>46241</x:v>
      </x:c>
      <x:c r="G26" s="285" t="n">
        <x:f>IF(OR(E26="",F26=""),"",F26-E26+1)</x:f>
        <x:v>5</x:v>
      </x:c>
      <x:c r="H26" s="281" t="n">
        <x:v>0</x:v>
      </x:c>
      <x:c r="I26" s="229" t="str">
        <x:f>IF(AND(I$7&gt;=$E26,I$7&lt;=$F26),1,"")</x:f>
      </x:c>
      <x:c r="J26" s="229" t="str">
        <x:f>IF(AND(J$7&gt;=$E26,J$7&lt;=$F26),1,"")</x:f>
      </x:c>
      <x:c r="K26" s="229" t="str">
        <x:f>IF(AND(K$7&gt;=$E26,K$7&lt;=$F26),1,"")</x:f>
      </x:c>
      <x:c r="L26" s="229" t="str">
        <x:f>IF(AND(L$7&gt;=$E26,L$7&lt;=$F26),1,"")</x:f>
      </x:c>
      <x:c r="M26" s="229" t="str">
        <x:f>IF(AND(M$7&gt;=$E26,M$7&lt;=$F26),1,"")</x:f>
      </x:c>
      <x:c r="N26" s="231" t="str">
        <x:f>IF(AND(N$7&gt;=$E26,N$7&lt;=$F26),1,"")</x:f>
      </x:c>
      <x:c r="O26" s="231" t="str">
        <x:f>IF(AND(O$7&gt;=$E26,O$7&lt;=$F26),1,"")</x:f>
      </x:c>
      <x:c r="P26" s="231" t="str">
        <x:f>IF(AND(P$7&gt;=$E26,P$7&lt;=$F26),1,"")</x:f>
      </x:c>
      <x:c r="Q26" s="231" t="str">
        <x:f>IF(AND(Q$7&gt;=$E26,Q$7&lt;=$F26),1,"")</x:f>
      </x:c>
      <x:c r="R26" s="231" t="str">
        <x:f>IF(AND(R$7&gt;=$E26,R$7&lt;=$F26),1,"")</x:f>
      </x:c>
      <x:c r="S26" s="229" t="str">
        <x:f>IF(AND(S$7&gt;=$E26,S$7&lt;=$F26),1,"")</x:f>
      </x:c>
      <x:c r="T26" s="229" t="str">
        <x:f>IF(AND(T$7&gt;=$E26,T$7&lt;=$F26),1,"")</x:f>
      </x:c>
      <x:c r="U26" s="229" t="str">
        <x:f>IF(AND(U$7&gt;=$E26,U$7&lt;=$F26),1,"")</x:f>
      </x:c>
      <x:c r="V26" s="229" t="str">
        <x:f>IF(AND(V$7&gt;=$E26,V$7&lt;=$F26),1,"")</x:f>
      </x:c>
      <x:c r="W26" s="229" t="str">
        <x:f>IF(AND(W$7&gt;=$E26,W$7&lt;=$F26),1,"")</x:f>
      </x:c>
      <x:c r="X26" s="233" t="n">
        <x:f>IF(AND(X$7&gt;=$E26,X$7&lt;=$F26),1,"")</x:f>
        <x:v>1</x:v>
      </x:c>
      <x:c r="Y26" s="233" t="n">
        <x:f>IF(AND(Y$7&gt;=$E26,Y$7&lt;=$F26),1,"")</x:f>
        <x:v>1</x:v>
      </x:c>
      <x:c r="Z26" s="233" t="n">
        <x:f>IF(AND(Z$7&gt;=$E26,Z$7&lt;=$F26),1,"")</x:f>
        <x:v>1</x:v>
      </x:c>
      <x:c r="AA26" s="233" t="n">
        <x:f>IF(AND(AA$7&gt;=$E26,AA$7&lt;=$F26),1,"")</x:f>
        <x:v>1</x:v>
      </x:c>
      <x:c r="AB26" s="233" t="n">
        <x:f>IF(AND(AB$7&gt;=$E26,AB$7&lt;=$F26),1,"")</x:f>
        <x:v>1</x:v>
      </x:c>
      <x:c r="AC26" s="229" t="str">
        <x:f>IF(AND(AC$7&gt;=$E26,AC$7&lt;=$F26),1,"")</x:f>
      </x:c>
      <x:c r="AD26" s="229" t="str">
        <x:f>IF(AND(AD$7&gt;=$E26,AD$7&lt;=$F26),1,"")</x:f>
      </x:c>
      <x:c r="AE26" s="229" t="str">
        <x:f>IF(AND(AE$7&gt;=$E26,AE$7&lt;=$F26),1,"")</x:f>
      </x:c>
      <x:c r="AF26" s="229" t="str">
        <x:f>IF(AND(AF$7&gt;=$E26,AF$7&lt;=$F26),1,"")</x:f>
      </x:c>
      <x:c r="AG26" s="229" t="str">
        <x:f>IF(AND(AG$7&gt;=$E26,AG$7&lt;=$F26),1,"")</x:f>
      </x:c>
      <x:c r="AH26" s="236" t="str">
        <x:f>IF(AND(AH$7&gt;=$E26,AH$7&lt;=$F26),1,"")</x:f>
      </x:c>
      <x:c r="AI26" s="236" t="str">
        <x:f>IF(AND(AI$7&gt;=$E26,AI$7&lt;=$F26),1,"")</x:f>
      </x:c>
      <x:c r="AJ26" s="236" t="str">
        <x:f>IF(AND(AJ$7&gt;=$E26,AJ$7&lt;=$F26),1,"")</x:f>
      </x:c>
      <x:c r="AK26" s="236" t="str">
        <x:f>IF(AND(AK$7&gt;=$E26,AK$7&lt;=$F26),1,"")</x:f>
      </x:c>
      <x:c r="AL26" s="236" t="str">
        <x:f>IF(AND(AL$7&gt;=$E26,AL$7&lt;=$F26),1,"")</x:f>
      </x:c>
      <x:c r="AM26" s="229" t="str">
        <x:f>IF(AND(AM$7&gt;=$E26,AM$7&lt;=$F26),1,"")</x:f>
      </x:c>
      <x:c r="AN26" s="229" t="str">
        <x:f>IF(AND(AN$7&gt;=$E26,AN$7&lt;=$F26),1,"")</x:f>
      </x:c>
      <x:c r="AO26" s="229" t="str">
        <x:f>IF(AND(AO$7&gt;=$E26,AO$7&lt;=$F26),1,"")</x:f>
      </x:c>
      <x:c r="AP26" s="229" t="str">
        <x:f>IF(AND(AP$7&gt;=$E26,AP$7&lt;=$F26),1,"")</x:f>
      </x:c>
      <x:c r="AQ26" s="229" t="str">
        <x:f>IF(AND(AQ$7&gt;=$E26,AQ$7&lt;=$F26),1,"")</x:f>
      </x:c>
      <x:c r="AR26" s="238" t="str">
        <x:f>IF(AND(AR$7&gt;=$E26,AR$7&lt;=$F26),1,"")</x:f>
      </x:c>
      <x:c r="AS26" s="238" t="str">
        <x:f>IF(AND(AS$7&gt;=$E26,AS$7&lt;=$F26),1,"")</x:f>
      </x:c>
      <x:c r="AT26" s="238" t="str">
        <x:f>IF(AND(AT$7&gt;=$E26,AT$7&lt;=$F26),1,"")</x:f>
      </x:c>
      <x:c r="AU26" s="238" t="str">
        <x:f>IF(AND(AU$7&gt;=$E26,AU$7&lt;=$F26),1,"")</x:f>
      </x:c>
      <x:c r="AV26" s="238" t="str">
        <x:f>IF(AND(AV$7&gt;=$E26,AV$7&lt;=$F26),1,"")</x:f>
      </x:c>
      <x:c r="AW26" s="244" t="str">
        <x:f>IF(AND(AW$7&gt;=$E26,AW$7&lt;=$F26),1,"")</x:f>
      </x:c>
      <x:c r="AX26" s="244" t="str">
        <x:f>IF(AND(AX$7&gt;=$E26,AX$7&lt;=$F26),1,"")</x:f>
      </x:c>
      <x:c r="AY26" s="244" t="str">
        <x:f>IF(AND(AY$7&gt;=$E26,AY$7&lt;=$F26),1,"")</x:f>
      </x:c>
      <x:c r="AZ26" s="244" t="str">
        <x:f>IF(AND(AZ$7&gt;=$E26,AZ$7&lt;=$F26),1,"")</x:f>
      </x:c>
      <x:c r="BA26" s="244" t="str">
        <x:f>IF(AND(BA$7&gt;=$E26,BA$7&lt;=$F26),1,"")</x:f>
      </x:c>
      <x:c r="BB26" s="244" t="str">
        <x:f>IF(AND(BB$7&gt;=$E26,BB$7&lt;=$F26),1,"")</x:f>
      </x:c>
      <x:c r="BC26" s="244" t="str">
        <x:f>IF(AND(BC$7&gt;=$E26,BC$7&lt;=$F26),1,"")</x:f>
      </x:c>
      <x:c r="BD26" s="244" t="str">
        <x:f>IF(AND(BD$7&gt;=$E26,BD$7&lt;=$F26),1,"")</x:f>
      </x:c>
      <x:c r="BE26" s="244" t="str">
        <x:f>IF(AND(BE$7&gt;=$E26,BE$7&lt;=$F26),1,"")</x:f>
      </x:c>
      <x:c r="BF26" s="244" t="str">
        <x:f>IF(AND(BF$7&gt;=$E26,BF$7&lt;=$F26),1,"")</x:f>
      </x:c>
      <x:c r="BG26" s="244" t="str">
        <x:f>IF(AND(BG$7&gt;=$E26,BG$7&lt;=$F26),1,"")</x:f>
      </x:c>
      <x:c r="BH26" s="244" t="str">
        <x:f>IF(AND(BH$7&gt;=$E26,BH$7&lt;=$F26),1,"")</x:f>
      </x:c>
      <x:c r="BI26" s="244" t="str">
        <x:f>IF(AND(BI$7&gt;=$E26,BI$7&lt;=$F26),1,"")</x:f>
      </x:c>
      <x:c r="BJ26" s="244" t="str">
        <x:f>IF(AND(BJ$7&gt;=$E26,BJ$7&lt;=$F26),1,"")</x:f>
      </x:c>
      <x:c r="BK26" s="244" t="str">
        <x:f>IF(AND(BK$7&gt;=$E26,BK$7&lt;=$F26),1,"")</x:f>
      </x:c>
      <x:c r="BL26" s="244" t="str">
        <x:f>IF(AND(BL$7&gt;=$E26,BL$7&lt;=$F26),1,"")</x:f>
      </x:c>
      <x:c r="BM26" s="244" t="str">
        <x:f>IF(AND(BM$7&gt;=$E26,BM$7&lt;=$F26),1,"")</x:f>
      </x:c>
      <x:c r="BN26" s="244" t="str">
        <x:f>IF(AND(BN$7&gt;=$E26,BN$7&lt;=$F26),1,"")</x:f>
      </x:c>
      <x:c r="BO26" s="244" t="str">
        <x:f>IF(AND(BO$7&gt;=$E26,BO$7&lt;=$F26),1,"")</x:f>
      </x:c>
      <x:c r="BP26" s="244" t="str">
        <x:f>IF(AND(BP$7&gt;=$E26,BP$7&lt;=$F26),1,"")</x:f>
      </x:c>
      <x:c r="BQ26" s="59"/>
    </x:row>
    <x:row r="27" ht="36" customHeight="1">
      <x:c r="A27" s="59"/>
      <x:c r="B27" s="283" t="str">
        <x:v>3.3</x:v>
      </x:c>
      <x:c r="C27" s="284" t="str">
        <x:v>유효 가용용량·기존 할당량·부하율 계산 구현</x:v>
      </x:c>
      <x:c r="D27" s="283" t="str">
        <x:v>AI·데이터</x:v>
      </x:c>
      <x:c r="E27" s="279" t="n">
        <x:v>46237</x:v>
      </x:c>
      <x:c r="F27" s="279" t="n">
        <x:v>46244</x:v>
      </x:c>
      <x:c r="G27" s="285" t="n">
        <x:f>IF(OR(E27="",F27=""),"",F27-E27+1)</x:f>
        <x:v>8</x:v>
      </x:c>
      <x:c r="H27" s="281" t="n">
        <x:v>0</x:v>
      </x:c>
      <x:c r="I27" s="229" t="str">
        <x:f>IF(AND(I$7&gt;=$E27,I$7&lt;=$F27),1,"")</x:f>
      </x:c>
      <x:c r="J27" s="229" t="str">
        <x:f>IF(AND(J$7&gt;=$E27,J$7&lt;=$F27),1,"")</x:f>
      </x:c>
      <x:c r="K27" s="229" t="str">
        <x:f>IF(AND(K$7&gt;=$E27,K$7&lt;=$F27),1,"")</x:f>
      </x:c>
      <x:c r="L27" s="229" t="str">
        <x:f>IF(AND(L$7&gt;=$E27,L$7&lt;=$F27),1,"")</x:f>
      </x:c>
      <x:c r="M27" s="229" t="str">
        <x:f>IF(AND(M$7&gt;=$E27,M$7&lt;=$F27),1,"")</x:f>
      </x:c>
      <x:c r="N27" s="231" t="str">
        <x:f>IF(AND(N$7&gt;=$E27,N$7&lt;=$F27),1,"")</x:f>
      </x:c>
      <x:c r="O27" s="231" t="str">
        <x:f>IF(AND(O$7&gt;=$E27,O$7&lt;=$F27),1,"")</x:f>
      </x:c>
      <x:c r="P27" s="231" t="str">
        <x:f>IF(AND(P$7&gt;=$E27,P$7&lt;=$F27),1,"")</x:f>
      </x:c>
      <x:c r="Q27" s="231" t="str">
        <x:f>IF(AND(Q$7&gt;=$E27,Q$7&lt;=$F27),1,"")</x:f>
      </x:c>
      <x:c r="R27" s="231" t="str">
        <x:f>IF(AND(R$7&gt;=$E27,R$7&lt;=$F27),1,"")</x:f>
      </x:c>
      <x:c r="S27" s="229" t="str">
        <x:f>IF(AND(S$7&gt;=$E27,S$7&lt;=$F27),1,"")</x:f>
      </x:c>
      <x:c r="T27" s="229" t="str">
        <x:f>IF(AND(T$7&gt;=$E27,T$7&lt;=$F27),1,"")</x:f>
      </x:c>
      <x:c r="U27" s="229" t="str">
        <x:f>IF(AND(U$7&gt;=$E27,U$7&lt;=$F27),1,"")</x:f>
      </x:c>
      <x:c r="V27" s="229" t="str">
        <x:f>IF(AND(V$7&gt;=$E27,V$7&lt;=$F27),1,"")</x:f>
      </x:c>
      <x:c r="W27" s="229" t="str">
        <x:f>IF(AND(W$7&gt;=$E27,W$7&lt;=$F27),1,"")</x:f>
      </x:c>
      <x:c r="X27" s="233" t="n">
        <x:f>IF(AND(X$7&gt;=$E27,X$7&lt;=$F27),1,"")</x:f>
        <x:v>1</x:v>
      </x:c>
      <x:c r="Y27" s="233" t="n">
        <x:f>IF(AND(Y$7&gt;=$E27,Y$7&lt;=$F27),1,"")</x:f>
        <x:v>1</x:v>
      </x:c>
      <x:c r="Z27" s="233" t="n">
        <x:f>IF(AND(Z$7&gt;=$E27,Z$7&lt;=$F27),1,"")</x:f>
        <x:v>1</x:v>
      </x:c>
      <x:c r="AA27" s="233" t="n">
        <x:f>IF(AND(AA$7&gt;=$E27,AA$7&lt;=$F27),1,"")</x:f>
        <x:v>1</x:v>
      </x:c>
      <x:c r="AB27" s="233" t="n">
        <x:f>IF(AND(AB$7&gt;=$E27,AB$7&lt;=$F27),1,"")</x:f>
        <x:v>1</x:v>
      </x:c>
      <x:c r="AC27" s="229" t="n">
        <x:f>IF(AND(AC$7&gt;=$E27,AC$7&lt;=$F27),1,"")</x:f>
        <x:v>1</x:v>
      </x:c>
      <x:c r="AD27" s="229" t="str">
        <x:f>IF(AND(AD$7&gt;=$E27,AD$7&lt;=$F27),1,"")</x:f>
      </x:c>
      <x:c r="AE27" s="229" t="str">
        <x:f>IF(AND(AE$7&gt;=$E27,AE$7&lt;=$F27),1,"")</x:f>
      </x:c>
      <x:c r="AF27" s="229" t="str">
        <x:f>IF(AND(AF$7&gt;=$E27,AF$7&lt;=$F27),1,"")</x:f>
      </x:c>
      <x:c r="AG27" s="229" t="str">
        <x:f>IF(AND(AG$7&gt;=$E27,AG$7&lt;=$F27),1,"")</x:f>
      </x:c>
      <x:c r="AH27" s="236" t="str">
        <x:f>IF(AND(AH$7&gt;=$E27,AH$7&lt;=$F27),1,"")</x:f>
      </x:c>
      <x:c r="AI27" s="236" t="str">
        <x:f>IF(AND(AI$7&gt;=$E27,AI$7&lt;=$F27),1,"")</x:f>
      </x:c>
      <x:c r="AJ27" s="236" t="str">
        <x:f>IF(AND(AJ$7&gt;=$E27,AJ$7&lt;=$F27),1,"")</x:f>
      </x:c>
      <x:c r="AK27" s="236" t="str">
        <x:f>IF(AND(AK$7&gt;=$E27,AK$7&lt;=$F27),1,"")</x:f>
      </x:c>
      <x:c r="AL27" s="236" t="str">
        <x:f>IF(AND(AL$7&gt;=$E27,AL$7&lt;=$F27),1,"")</x:f>
      </x:c>
      <x:c r="AM27" s="229" t="str">
        <x:f>IF(AND(AM$7&gt;=$E27,AM$7&lt;=$F27),1,"")</x:f>
      </x:c>
      <x:c r="AN27" s="229" t="str">
        <x:f>IF(AND(AN$7&gt;=$E27,AN$7&lt;=$F27),1,"")</x:f>
      </x:c>
      <x:c r="AO27" s="229" t="str">
        <x:f>IF(AND(AO$7&gt;=$E27,AO$7&lt;=$F27),1,"")</x:f>
      </x:c>
      <x:c r="AP27" s="229" t="str">
        <x:f>IF(AND(AP$7&gt;=$E27,AP$7&lt;=$F27),1,"")</x:f>
      </x:c>
      <x:c r="AQ27" s="229" t="str">
        <x:f>IF(AND(AQ$7&gt;=$E27,AQ$7&lt;=$F27),1,"")</x:f>
      </x:c>
      <x:c r="AR27" s="238" t="str">
        <x:f>IF(AND(AR$7&gt;=$E27,AR$7&lt;=$F27),1,"")</x:f>
      </x:c>
      <x:c r="AS27" s="238" t="str">
        <x:f>IF(AND(AS$7&gt;=$E27,AS$7&lt;=$F27),1,"")</x:f>
      </x:c>
      <x:c r="AT27" s="238" t="str">
        <x:f>IF(AND(AT$7&gt;=$E27,AT$7&lt;=$F27),1,"")</x:f>
      </x:c>
      <x:c r="AU27" s="238" t="str">
        <x:f>IF(AND(AU$7&gt;=$E27,AU$7&lt;=$F27),1,"")</x:f>
      </x:c>
      <x:c r="AV27" s="238" t="str">
        <x:f>IF(AND(AV$7&gt;=$E27,AV$7&lt;=$F27),1,"")</x:f>
      </x:c>
      <x:c r="AW27" s="244" t="str">
        <x:f>IF(AND(AW$7&gt;=$E27,AW$7&lt;=$F27),1,"")</x:f>
      </x:c>
      <x:c r="AX27" s="244" t="str">
        <x:f>IF(AND(AX$7&gt;=$E27,AX$7&lt;=$F27),1,"")</x:f>
      </x:c>
      <x:c r="AY27" s="244" t="str">
        <x:f>IF(AND(AY$7&gt;=$E27,AY$7&lt;=$F27),1,"")</x:f>
      </x:c>
      <x:c r="AZ27" s="244" t="str">
        <x:f>IF(AND(AZ$7&gt;=$E27,AZ$7&lt;=$F27),1,"")</x:f>
      </x:c>
      <x:c r="BA27" s="244" t="str">
        <x:f>IF(AND(BA$7&gt;=$E27,BA$7&lt;=$F27),1,"")</x:f>
      </x:c>
      <x:c r="BB27" s="244" t="str">
        <x:f>IF(AND(BB$7&gt;=$E27,BB$7&lt;=$F27),1,"")</x:f>
      </x:c>
      <x:c r="BC27" s="244" t="str">
        <x:f>IF(AND(BC$7&gt;=$E27,BC$7&lt;=$F27),1,"")</x:f>
      </x:c>
      <x:c r="BD27" s="244" t="str">
        <x:f>IF(AND(BD$7&gt;=$E27,BD$7&lt;=$F27),1,"")</x:f>
      </x:c>
      <x:c r="BE27" s="244" t="str">
        <x:f>IF(AND(BE$7&gt;=$E27,BE$7&lt;=$F27),1,"")</x:f>
      </x:c>
      <x:c r="BF27" s="244" t="str">
        <x:f>IF(AND(BF$7&gt;=$E27,BF$7&lt;=$F27),1,"")</x:f>
      </x:c>
      <x:c r="BG27" s="244" t="str">
        <x:f>IF(AND(BG$7&gt;=$E27,BG$7&lt;=$F27),1,"")</x:f>
      </x:c>
      <x:c r="BH27" s="244" t="str">
        <x:f>IF(AND(BH$7&gt;=$E27,BH$7&lt;=$F27),1,"")</x:f>
      </x:c>
      <x:c r="BI27" s="244" t="str">
        <x:f>IF(AND(BI$7&gt;=$E27,BI$7&lt;=$F27),1,"")</x:f>
      </x:c>
      <x:c r="BJ27" s="244" t="str">
        <x:f>IF(AND(BJ$7&gt;=$E27,BJ$7&lt;=$F27),1,"")</x:f>
      </x:c>
      <x:c r="BK27" s="244" t="str">
        <x:f>IF(AND(BK$7&gt;=$E27,BK$7&lt;=$F27),1,"")</x:f>
      </x:c>
      <x:c r="BL27" s="244" t="str">
        <x:f>IF(AND(BL$7&gt;=$E27,BL$7&lt;=$F27),1,"")</x:f>
      </x:c>
      <x:c r="BM27" s="244" t="str">
        <x:f>IF(AND(BM$7&gt;=$E27,BM$7&lt;=$F27),1,"")</x:f>
      </x:c>
      <x:c r="BN27" s="244" t="str">
        <x:f>IF(AND(BN$7&gt;=$E27,BN$7&lt;=$F27),1,"")</x:f>
      </x:c>
      <x:c r="BO27" s="244" t="str">
        <x:f>IF(AND(BO$7&gt;=$E27,BO$7&lt;=$F27),1,"")</x:f>
      </x:c>
      <x:c r="BP27" s="244" t="str">
        <x:f>IF(AND(BP$7&gt;=$E27,BP$7&lt;=$F27),1,"")</x:f>
      </x:c>
      <x:c r="BQ27" s="59"/>
    </x:row>
    <x:row r="28" ht="36" customHeight="1">
      <x:c r="A28" s="59"/>
      <x:c r="B28" s="283" t="str">
        <x:v>3.4</x:v>
      </x:c>
      <x:c r="C28" s="284" t="str">
        <x:v>후보 생성·업무 적합도·대안 추천·위험 분석 구현</x:v>
      </x:c>
      <x:c r="D28" s="283" t="str">
        <x:v>AI·백엔드</x:v>
      </x:c>
      <x:c r="E28" s="279" t="n">
        <x:v>46239</x:v>
      </x:c>
      <x:c r="F28" s="279" t="n">
        <x:v>46248</x:v>
      </x:c>
      <x:c r="G28" s="285" t="n">
        <x:f>IF(OR(E28="",F28=""),"",F28-E28+1)</x:f>
        <x:v>10</x:v>
      </x:c>
      <x:c r="H28" s="281" t="n">
        <x:v>0</x:v>
      </x:c>
      <x:c r="I28" s="229" t="str">
        <x:f>IF(AND(I$7&gt;=$E28,I$7&lt;=$F28),1,"")</x:f>
      </x:c>
      <x:c r="J28" s="229" t="str">
        <x:f>IF(AND(J$7&gt;=$E28,J$7&lt;=$F28),1,"")</x:f>
      </x:c>
      <x:c r="K28" s="229" t="str">
        <x:f>IF(AND(K$7&gt;=$E28,K$7&lt;=$F28),1,"")</x:f>
      </x:c>
      <x:c r="L28" s="229" t="str">
        <x:f>IF(AND(L$7&gt;=$E28,L$7&lt;=$F28),1,"")</x:f>
      </x:c>
      <x:c r="M28" s="229" t="str">
        <x:f>IF(AND(M$7&gt;=$E28,M$7&lt;=$F28),1,"")</x:f>
      </x:c>
      <x:c r="N28" s="231" t="str">
        <x:f>IF(AND(N$7&gt;=$E28,N$7&lt;=$F28),1,"")</x:f>
      </x:c>
      <x:c r="O28" s="231" t="str">
        <x:f>IF(AND(O$7&gt;=$E28,O$7&lt;=$F28),1,"")</x:f>
      </x:c>
      <x:c r="P28" s="231" t="str">
        <x:f>IF(AND(P$7&gt;=$E28,P$7&lt;=$F28),1,"")</x:f>
      </x:c>
      <x:c r="Q28" s="231" t="str">
        <x:f>IF(AND(Q$7&gt;=$E28,Q$7&lt;=$F28),1,"")</x:f>
      </x:c>
      <x:c r="R28" s="231" t="str">
        <x:f>IF(AND(R$7&gt;=$E28,R$7&lt;=$F28),1,"")</x:f>
      </x:c>
      <x:c r="S28" s="229" t="str">
        <x:f>IF(AND(S$7&gt;=$E28,S$7&lt;=$F28),1,"")</x:f>
      </x:c>
      <x:c r="T28" s="229" t="str">
        <x:f>IF(AND(T$7&gt;=$E28,T$7&lt;=$F28),1,"")</x:f>
      </x:c>
      <x:c r="U28" s="229" t="str">
        <x:f>IF(AND(U$7&gt;=$E28,U$7&lt;=$F28),1,"")</x:f>
      </x:c>
      <x:c r="V28" s="229" t="str">
        <x:f>IF(AND(V$7&gt;=$E28,V$7&lt;=$F28),1,"")</x:f>
      </x:c>
      <x:c r="W28" s="229" t="str">
        <x:f>IF(AND(W$7&gt;=$E28,W$7&lt;=$F28),1,"")</x:f>
      </x:c>
      <x:c r="X28" s="233" t="str">
        <x:f>IF(AND(X$7&gt;=$E28,X$7&lt;=$F28),1,"")</x:f>
      </x:c>
      <x:c r="Y28" s="233" t="str">
        <x:f>IF(AND(Y$7&gt;=$E28,Y$7&lt;=$F28),1,"")</x:f>
      </x:c>
      <x:c r="Z28" s="233" t="n">
        <x:f>IF(AND(Z$7&gt;=$E28,Z$7&lt;=$F28),1,"")</x:f>
        <x:v>1</x:v>
      </x:c>
      <x:c r="AA28" s="233" t="n">
        <x:f>IF(AND(AA$7&gt;=$E28,AA$7&lt;=$F28),1,"")</x:f>
        <x:v>1</x:v>
      </x:c>
      <x:c r="AB28" s="233" t="n">
        <x:f>IF(AND(AB$7&gt;=$E28,AB$7&lt;=$F28),1,"")</x:f>
        <x:v>1</x:v>
      </x:c>
      <x:c r="AC28" s="229" t="n">
        <x:f>IF(AND(AC$7&gt;=$E28,AC$7&lt;=$F28),1,"")</x:f>
        <x:v>1</x:v>
      </x:c>
      <x:c r="AD28" s="229" t="n">
        <x:f>IF(AND(AD$7&gt;=$E28,AD$7&lt;=$F28),1,"")</x:f>
        <x:v>1</x:v>
      </x:c>
      <x:c r="AE28" s="229" t="n">
        <x:f>IF(AND(AE$7&gt;=$E28,AE$7&lt;=$F28),1,"")</x:f>
        <x:v>1</x:v>
      </x:c>
      <x:c r="AF28" s="229" t="n">
        <x:f>IF(AND(AF$7&gt;=$E28,AF$7&lt;=$F28),1,"")</x:f>
        <x:v>1</x:v>
      </x:c>
      <x:c r="AG28" s="229" t="n">
        <x:f>IF(AND(AG$7&gt;=$E28,AG$7&lt;=$F28),1,"")</x:f>
        <x:v>1</x:v>
      </x:c>
      <x:c r="AH28" s="236" t="str">
        <x:f>IF(AND(AH$7&gt;=$E28,AH$7&lt;=$F28),1,"")</x:f>
      </x:c>
      <x:c r="AI28" s="236" t="str">
        <x:f>IF(AND(AI$7&gt;=$E28,AI$7&lt;=$F28),1,"")</x:f>
      </x:c>
      <x:c r="AJ28" s="236" t="str">
        <x:f>IF(AND(AJ$7&gt;=$E28,AJ$7&lt;=$F28),1,"")</x:f>
      </x:c>
      <x:c r="AK28" s="236" t="str">
        <x:f>IF(AND(AK$7&gt;=$E28,AK$7&lt;=$F28),1,"")</x:f>
      </x:c>
      <x:c r="AL28" s="236" t="str">
        <x:f>IF(AND(AL$7&gt;=$E28,AL$7&lt;=$F28),1,"")</x:f>
      </x:c>
      <x:c r="AM28" s="229" t="str">
        <x:f>IF(AND(AM$7&gt;=$E28,AM$7&lt;=$F28),1,"")</x:f>
      </x:c>
      <x:c r="AN28" s="229" t="str">
        <x:f>IF(AND(AN$7&gt;=$E28,AN$7&lt;=$F28),1,"")</x:f>
      </x:c>
      <x:c r="AO28" s="229" t="str">
        <x:f>IF(AND(AO$7&gt;=$E28,AO$7&lt;=$F28),1,"")</x:f>
      </x:c>
      <x:c r="AP28" s="229" t="str">
        <x:f>IF(AND(AP$7&gt;=$E28,AP$7&lt;=$F28),1,"")</x:f>
      </x:c>
      <x:c r="AQ28" s="229" t="str">
        <x:f>IF(AND(AQ$7&gt;=$E28,AQ$7&lt;=$F28),1,"")</x:f>
      </x:c>
      <x:c r="AR28" s="238" t="str">
        <x:f>IF(AND(AR$7&gt;=$E28,AR$7&lt;=$F28),1,"")</x:f>
      </x:c>
      <x:c r="AS28" s="238" t="str">
        <x:f>IF(AND(AS$7&gt;=$E28,AS$7&lt;=$F28),1,"")</x:f>
      </x:c>
      <x:c r="AT28" s="238" t="str">
        <x:f>IF(AND(AT$7&gt;=$E28,AT$7&lt;=$F28),1,"")</x:f>
      </x:c>
      <x:c r="AU28" s="238" t="str">
        <x:f>IF(AND(AU$7&gt;=$E28,AU$7&lt;=$F28),1,"")</x:f>
      </x:c>
      <x:c r="AV28" s="238" t="str">
        <x:f>IF(AND(AV$7&gt;=$E28,AV$7&lt;=$F28),1,"")</x:f>
      </x:c>
      <x:c r="AW28" s="244" t="str">
        <x:f>IF(AND(AW$7&gt;=$E28,AW$7&lt;=$F28),1,"")</x:f>
      </x:c>
      <x:c r="AX28" s="244" t="str">
        <x:f>IF(AND(AX$7&gt;=$E28,AX$7&lt;=$F28),1,"")</x:f>
      </x:c>
      <x:c r="AY28" s="244" t="str">
        <x:f>IF(AND(AY$7&gt;=$E28,AY$7&lt;=$F28),1,"")</x:f>
      </x:c>
      <x:c r="AZ28" s="244" t="str">
        <x:f>IF(AND(AZ$7&gt;=$E28,AZ$7&lt;=$F28),1,"")</x:f>
      </x:c>
      <x:c r="BA28" s="244" t="str">
        <x:f>IF(AND(BA$7&gt;=$E28,BA$7&lt;=$F28),1,"")</x:f>
      </x:c>
      <x:c r="BB28" s="244" t="str">
        <x:f>IF(AND(BB$7&gt;=$E28,BB$7&lt;=$F28),1,"")</x:f>
      </x:c>
      <x:c r="BC28" s="244" t="str">
        <x:f>IF(AND(BC$7&gt;=$E28,BC$7&lt;=$F28),1,"")</x:f>
      </x:c>
      <x:c r="BD28" s="244" t="str">
        <x:f>IF(AND(BD$7&gt;=$E28,BD$7&lt;=$F28),1,"")</x:f>
      </x:c>
      <x:c r="BE28" s="244" t="str">
        <x:f>IF(AND(BE$7&gt;=$E28,BE$7&lt;=$F28),1,"")</x:f>
      </x:c>
      <x:c r="BF28" s="244" t="str">
        <x:f>IF(AND(BF$7&gt;=$E28,BF$7&lt;=$F28),1,"")</x:f>
      </x:c>
      <x:c r="BG28" s="244" t="str">
        <x:f>IF(AND(BG$7&gt;=$E28,BG$7&lt;=$F28),1,"")</x:f>
      </x:c>
      <x:c r="BH28" s="244" t="str">
        <x:f>IF(AND(BH$7&gt;=$E28,BH$7&lt;=$F28),1,"")</x:f>
      </x:c>
      <x:c r="BI28" s="244" t="str">
        <x:f>IF(AND(BI$7&gt;=$E28,BI$7&lt;=$F28),1,"")</x:f>
      </x:c>
      <x:c r="BJ28" s="244" t="str">
        <x:f>IF(AND(BJ$7&gt;=$E28,BJ$7&lt;=$F28),1,"")</x:f>
      </x:c>
      <x:c r="BK28" s="244" t="str">
        <x:f>IF(AND(BK$7&gt;=$E28,BK$7&lt;=$F28),1,"")</x:f>
      </x:c>
      <x:c r="BL28" s="244" t="str">
        <x:f>IF(AND(BL$7&gt;=$E28,BL$7&lt;=$F28),1,"")</x:f>
      </x:c>
      <x:c r="BM28" s="244" t="str">
        <x:f>IF(AND(BM$7&gt;=$E28,BM$7&lt;=$F28),1,"")</x:f>
      </x:c>
      <x:c r="BN28" s="244" t="str">
        <x:f>IF(AND(BN$7&gt;=$E28,BN$7&lt;=$F28),1,"")</x:f>
      </x:c>
      <x:c r="BO28" s="244" t="str">
        <x:f>IF(AND(BO$7&gt;=$E28,BO$7&lt;=$F28),1,"")</x:f>
      </x:c>
      <x:c r="BP28" s="244" t="str">
        <x:f>IF(AND(BP$7&gt;=$E28,BP$7&lt;=$F28),1,"")</x:f>
      </x:c>
      <x:c r="BQ28" s="59"/>
    </x:row>
    <x:row r="29" ht="36" customHeight="1">
      <x:c r="A29" s="59"/>
      <x:c r="B29" s="283" t="str">
        <x:v>3.5</x:v>
      </x:c>
      <x:c r="C29" s="284" t="str">
        <x:v>필수 제약조건 검증·REJECT 차단·재검증 구현</x:v>
      </x:c>
      <x:c r="D29" s="283" t="str">
        <x:v>백엔드·QA</x:v>
      </x:c>
      <x:c r="E29" s="279" t="n">
        <x:v>46244</x:v>
      </x:c>
      <x:c r="F29" s="279" t="n">
        <x:v>46251</x:v>
      </x:c>
      <x:c r="G29" s="285" t="n">
        <x:f>IF(OR(E29="",F29=""),"",F29-E29+1)</x:f>
        <x:v>8</x:v>
      </x:c>
      <x:c r="H29" s="281" t="n">
        <x:v>0</x:v>
      </x:c>
      <x:c r="I29" s="229" t="str">
        <x:f>IF(AND(I$7&gt;=$E29,I$7&lt;=$F29),1,"")</x:f>
      </x:c>
      <x:c r="J29" s="229" t="str">
        <x:f>IF(AND(J$7&gt;=$E29,J$7&lt;=$F29),1,"")</x:f>
      </x:c>
      <x:c r="K29" s="229" t="str">
        <x:f>IF(AND(K$7&gt;=$E29,K$7&lt;=$F29),1,"")</x:f>
      </x:c>
      <x:c r="L29" s="229" t="str">
        <x:f>IF(AND(L$7&gt;=$E29,L$7&lt;=$F29),1,"")</x:f>
      </x:c>
      <x:c r="M29" s="229" t="str">
        <x:f>IF(AND(M$7&gt;=$E29,M$7&lt;=$F29),1,"")</x:f>
      </x:c>
      <x:c r="N29" s="231" t="str">
        <x:f>IF(AND(N$7&gt;=$E29,N$7&lt;=$F29),1,"")</x:f>
      </x:c>
      <x:c r="O29" s="231" t="str">
        <x:f>IF(AND(O$7&gt;=$E29,O$7&lt;=$F29),1,"")</x:f>
      </x:c>
      <x:c r="P29" s="231" t="str">
        <x:f>IF(AND(P$7&gt;=$E29,P$7&lt;=$F29),1,"")</x:f>
      </x:c>
      <x:c r="Q29" s="231" t="str">
        <x:f>IF(AND(Q$7&gt;=$E29,Q$7&lt;=$F29),1,"")</x:f>
      </x:c>
      <x:c r="R29" s="231" t="str">
        <x:f>IF(AND(R$7&gt;=$E29,R$7&lt;=$F29),1,"")</x:f>
      </x:c>
      <x:c r="S29" s="229" t="str">
        <x:f>IF(AND(S$7&gt;=$E29,S$7&lt;=$F29),1,"")</x:f>
      </x:c>
      <x:c r="T29" s="229" t="str">
        <x:f>IF(AND(T$7&gt;=$E29,T$7&lt;=$F29),1,"")</x:f>
      </x:c>
      <x:c r="U29" s="229" t="str">
        <x:f>IF(AND(U$7&gt;=$E29,U$7&lt;=$F29),1,"")</x:f>
      </x:c>
      <x:c r="V29" s="229" t="str">
        <x:f>IF(AND(V$7&gt;=$E29,V$7&lt;=$F29),1,"")</x:f>
      </x:c>
      <x:c r="W29" s="229" t="str">
        <x:f>IF(AND(W$7&gt;=$E29,W$7&lt;=$F29),1,"")</x:f>
      </x:c>
      <x:c r="X29" s="233" t="str">
        <x:f>IF(AND(X$7&gt;=$E29,X$7&lt;=$F29),1,"")</x:f>
      </x:c>
      <x:c r="Y29" s="233" t="str">
        <x:f>IF(AND(Y$7&gt;=$E29,Y$7&lt;=$F29),1,"")</x:f>
      </x:c>
      <x:c r="Z29" s="233" t="str">
        <x:f>IF(AND(Z$7&gt;=$E29,Z$7&lt;=$F29),1,"")</x:f>
      </x:c>
      <x:c r="AA29" s="233" t="str">
        <x:f>IF(AND(AA$7&gt;=$E29,AA$7&lt;=$F29),1,"")</x:f>
      </x:c>
      <x:c r="AB29" s="233" t="str">
        <x:f>IF(AND(AB$7&gt;=$E29,AB$7&lt;=$F29),1,"")</x:f>
      </x:c>
      <x:c r="AC29" s="229" t="n">
        <x:f>IF(AND(AC$7&gt;=$E29,AC$7&lt;=$F29),1,"")</x:f>
        <x:v>1</x:v>
      </x:c>
      <x:c r="AD29" s="229" t="n">
        <x:f>IF(AND(AD$7&gt;=$E29,AD$7&lt;=$F29),1,"")</x:f>
        <x:v>1</x:v>
      </x:c>
      <x:c r="AE29" s="229" t="n">
        <x:f>IF(AND(AE$7&gt;=$E29,AE$7&lt;=$F29),1,"")</x:f>
        <x:v>1</x:v>
      </x:c>
      <x:c r="AF29" s="229" t="n">
        <x:f>IF(AND(AF$7&gt;=$E29,AF$7&lt;=$F29),1,"")</x:f>
        <x:v>1</x:v>
      </x:c>
      <x:c r="AG29" s="229" t="n">
        <x:f>IF(AND(AG$7&gt;=$E29,AG$7&lt;=$F29),1,"")</x:f>
        <x:v>1</x:v>
      </x:c>
      <x:c r="AH29" s="236" t="n">
        <x:f>IF(AND(AH$7&gt;=$E29,AH$7&lt;=$F29),1,"")</x:f>
        <x:v>1</x:v>
      </x:c>
      <x:c r="AI29" s="236" t="str">
        <x:f>IF(AND(AI$7&gt;=$E29,AI$7&lt;=$F29),1,"")</x:f>
      </x:c>
      <x:c r="AJ29" s="236" t="str">
        <x:f>IF(AND(AJ$7&gt;=$E29,AJ$7&lt;=$F29),1,"")</x:f>
      </x:c>
      <x:c r="AK29" s="236" t="str">
        <x:f>IF(AND(AK$7&gt;=$E29,AK$7&lt;=$F29),1,"")</x:f>
      </x:c>
      <x:c r="AL29" s="236" t="str">
        <x:f>IF(AND(AL$7&gt;=$E29,AL$7&lt;=$F29),1,"")</x:f>
      </x:c>
      <x:c r="AM29" s="229" t="str">
        <x:f>IF(AND(AM$7&gt;=$E29,AM$7&lt;=$F29),1,"")</x:f>
      </x:c>
      <x:c r="AN29" s="229" t="str">
        <x:f>IF(AND(AN$7&gt;=$E29,AN$7&lt;=$F29),1,"")</x:f>
      </x:c>
      <x:c r="AO29" s="229" t="str">
        <x:f>IF(AND(AO$7&gt;=$E29,AO$7&lt;=$F29),1,"")</x:f>
      </x:c>
      <x:c r="AP29" s="229" t="str">
        <x:f>IF(AND(AP$7&gt;=$E29,AP$7&lt;=$F29),1,"")</x:f>
      </x:c>
      <x:c r="AQ29" s="229" t="str">
        <x:f>IF(AND(AQ$7&gt;=$E29,AQ$7&lt;=$F29),1,"")</x:f>
      </x:c>
      <x:c r="AR29" s="238" t="str">
        <x:f>IF(AND(AR$7&gt;=$E29,AR$7&lt;=$F29),1,"")</x:f>
      </x:c>
      <x:c r="AS29" s="238" t="str">
        <x:f>IF(AND(AS$7&gt;=$E29,AS$7&lt;=$F29),1,"")</x:f>
      </x:c>
      <x:c r="AT29" s="238" t="str">
        <x:f>IF(AND(AT$7&gt;=$E29,AT$7&lt;=$F29),1,"")</x:f>
      </x:c>
      <x:c r="AU29" s="238" t="str">
        <x:f>IF(AND(AU$7&gt;=$E29,AU$7&lt;=$F29),1,"")</x:f>
      </x:c>
      <x:c r="AV29" s="238" t="str">
        <x:f>IF(AND(AV$7&gt;=$E29,AV$7&lt;=$F29),1,"")</x:f>
      </x:c>
      <x:c r="AW29" s="244" t="str">
        <x:f>IF(AND(AW$7&gt;=$E29,AW$7&lt;=$F29),1,"")</x:f>
      </x:c>
      <x:c r="AX29" s="244" t="str">
        <x:f>IF(AND(AX$7&gt;=$E29,AX$7&lt;=$F29),1,"")</x:f>
      </x:c>
      <x:c r="AY29" s="244" t="str">
        <x:f>IF(AND(AY$7&gt;=$E29,AY$7&lt;=$F29),1,"")</x:f>
      </x:c>
      <x:c r="AZ29" s="244" t="str">
        <x:f>IF(AND(AZ$7&gt;=$E29,AZ$7&lt;=$F29),1,"")</x:f>
      </x:c>
      <x:c r="BA29" s="244" t="str">
        <x:f>IF(AND(BA$7&gt;=$E29,BA$7&lt;=$F29),1,"")</x:f>
      </x:c>
      <x:c r="BB29" s="244" t="str">
        <x:f>IF(AND(BB$7&gt;=$E29,BB$7&lt;=$F29),1,"")</x:f>
      </x:c>
      <x:c r="BC29" s="244" t="str">
        <x:f>IF(AND(BC$7&gt;=$E29,BC$7&lt;=$F29),1,"")</x:f>
      </x:c>
      <x:c r="BD29" s="244" t="str">
        <x:f>IF(AND(BD$7&gt;=$E29,BD$7&lt;=$F29),1,"")</x:f>
      </x:c>
      <x:c r="BE29" s="244" t="str">
        <x:f>IF(AND(BE$7&gt;=$E29,BE$7&lt;=$F29),1,"")</x:f>
      </x:c>
      <x:c r="BF29" s="244" t="str">
        <x:f>IF(AND(BF$7&gt;=$E29,BF$7&lt;=$F29),1,"")</x:f>
      </x:c>
      <x:c r="BG29" s="244" t="str">
        <x:f>IF(AND(BG$7&gt;=$E29,BG$7&lt;=$F29),1,"")</x:f>
      </x:c>
      <x:c r="BH29" s="244" t="str">
        <x:f>IF(AND(BH$7&gt;=$E29,BH$7&lt;=$F29),1,"")</x:f>
      </x:c>
      <x:c r="BI29" s="244" t="str">
        <x:f>IF(AND(BI$7&gt;=$E29,BI$7&lt;=$F29),1,"")</x:f>
      </x:c>
      <x:c r="BJ29" s="244" t="str">
        <x:f>IF(AND(BJ$7&gt;=$E29,BJ$7&lt;=$F29),1,"")</x:f>
      </x:c>
      <x:c r="BK29" s="244" t="str">
        <x:f>IF(AND(BK$7&gt;=$E29,BK$7&lt;=$F29),1,"")</x:f>
      </x:c>
      <x:c r="BL29" s="244" t="str">
        <x:f>IF(AND(BL$7&gt;=$E29,BL$7&lt;=$F29),1,"")</x:f>
      </x:c>
      <x:c r="BM29" s="244" t="str">
        <x:f>IF(AND(BM$7&gt;=$E29,BM$7&lt;=$F29),1,"")</x:f>
      </x:c>
      <x:c r="BN29" s="244" t="str">
        <x:f>IF(AND(BN$7&gt;=$E29,BN$7&lt;=$F29),1,"")</x:f>
      </x:c>
      <x:c r="BO29" s="244" t="str">
        <x:f>IF(AND(BO$7&gt;=$E29,BO$7&lt;=$F29),1,"")</x:f>
      </x:c>
      <x:c r="BP29" s="244" t="str">
        <x:f>IF(AND(BP$7&gt;=$E29,BP$7&lt;=$F29),1,"")</x:f>
      </x:c>
      <x:c r="BQ29" s="59"/>
    </x:row>
    <x:row r="30" ht="27" customHeight="1">
      <x:c r="A30" s="59"/>
      <x:c r="B30" s="266" t="str">
        <x:v>4</x:v>
      </x:c>
      <x:c r="C30" s="275" t="str">
        <x:v>PM 화면·종단 통합·평가 및 발표</x:v>
      </x:c>
      <x:c r="D30" s="266"/>
      <x:c r="E30" s="276"/>
      <x:c r="F30" s="276"/>
      <x:c r="G30" s="277"/>
      <x:c r="H30" s="278"/>
      <x:c r="I30" s="270"/>
      <x:c r="J30" s="270"/>
      <x:c r="K30" s="270"/>
      <x:c r="L30" s="270"/>
      <x:c r="M30" s="270"/>
      <x:c r="N30" s="270"/>
      <x:c r="O30" s="270"/>
      <x:c r="P30" s="270"/>
      <x:c r="Q30" s="270"/>
      <x:c r="R30" s="270"/>
      <x:c r="S30" s="270"/>
      <x:c r="T30" s="270"/>
      <x:c r="U30" s="270"/>
      <x:c r="V30" s="270"/>
      <x:c r="W30" s="270"/>
      <x:c r="X30" s="270"/>
      <x:c r="Y30" s="270"/>
      <x:c r="Z30" s="270"/>
      <x:c r="AA30" s="270"/>
      <x:c r="AB30" s="270"/>
      <x:c r="AC30" s="270"/>
      <x:c r="AD30" s="270"/>
      <x:c r="AE30" s="270"/>
      <x:c r="AF30" s="270"/>
      <x:c r="AG30" s="270"/>
      <x:c r="AH30" s="270"/>
      <x:c r="AI30" s="270"/>
      <x:c r="AJ30" s="270"/>
      <x:c r="AK30" s="270"/>
      <x:c r="AL30" s="270"/>
      <x:c r="AM30" s="270"/>
      <x:c r="AN30" s="270"/>
      <x:c r="AO30" s="270"/>
      <x:c r="AP30" s="270"/>
      <x:c r="AQ30" s="270"/>
      <x:c r="AR30" s="270"/>
      <x:c r="AS30" s="270"/>
      <x:c r="AT30" s="270"/>
      <x:c r="AU30" s="270"/>
      <x:c r="AV30" s="270"/>
      <x:c r="AW30" s="270"/>
      <x:c r="AX30" s="270"/>
      <x:c r="AY30" s="270"/>
      <x:c r="AZ30" s="270"/>
      <x:c r="BA30" s="270"/>
      <x:c r="BB30" s="270"/>
      <x:c r="BC30" s="270"/>
      <x:c r="BD30" s="270"/>
      <x:c r="BE30" s="270"/>
      <x:c r="BF30" s="270"/>
      <x:c r="BG30" s="270"/>
      <x:c r="BH30" s="270"/>
      <x:c r="BI30" s="270"/>
      <x:c r="BJ30" s="270"/>
      <x:c r="BK30" s="270"/>
      <x:c r="BL30" s="270"/>
      <x:c r="BM30" s="270"/>
      <x:c r="BN30" s="270"/>
      <x:c r="BO30" s="270"/>
      <x:c r="BP30" s="270"/>
      <x:c r="BQ30" s="59"/>
    </x:row>
    <x:row r="31" ht="36" customHeight="1">
      <x:c r="A31" s="31"/>
      <x:c r="B31" s="286" t="str">
        <x:v>4.1</x:v>
      </x:c>
      <x:c r="C31" s="287" t="str">
        <x:v>업무 분해·추천·검증·운영 상태 화면 구현</x:v>
      </x:c>
      <x:c r="D31" s="286" t="str">
        <x:v>프론트·백엔드</x:v>
      </x:c>
      <x:c r="E31" s="280" t="n">
        <x:v>46244</x:v>
      </x:c>
      <x:c r="F31" s="280" t="n">
        <x:v>46255</x:v>
      </x:c>
      <x:c r="G31" s="288" t="n">
        <x:f>IF(OR(E31="",F31=""),"",F31-E31+1)</x:f>
        <x:v>12</x:v>
      </x:c>
      <x:c r="H31" s="282" t="n">
        <x:v>0</x:v>
      </x:c>
      <x:c r="I31" s="228" t="str">
        <x:f>IF(AND(I$7&gt;=$E31,I$7&lt;=$F31),1,"")</x:f>
      </x:c>
      <x:c r="J31" s="228" t="str">
        <x:f>IF(AND(J$7&gt;=$E31,J$7&lt;=$F31),1,"")</x:f>
      </x:c>
      <x:c r="K31" s="228" t="str">
        <x:f>IF(AND(K$7&gt;=$E31,K$7&lt;=$F31),1,"")</x:f>
      </x:c>
      <x:c r="L31" s="228" t="str">
        <x:f>IF(AND(L$7&gt;=$E31,L$7&lt;=$F31),1,"")</x:f>
      </x:c>
      <x:c r="M31" s="228" t="str">
        <x:f>IF(AND(M$7&gt;=$E31,M$7&lt;=$F31),1,"")</x:f>
      </x:c>
      <x:c r="N31" s="230" t="str">
        <x:f>IF(AND(N$7&gt;=$E31,N$7&lt;=$F31),1,"")</x:f>
      </x:c>
      <x:c r="O31" s="230" t="str">
        <x:f>IF(AND(O$7&gt;=$E31,O$7&lt;=$F31),1,"")</x:f>
      </x:c>
      <x:c r="P31" s="230" t="str">
        <x:f>IF(AND(P$7&gt;=$E31,P$7&lt;=$F31),1,"")</x:f>
      </x:c>
      <x:c r="Q31" s="230" t="str">
        <x:f>IF(AND(Q$7&gt;=$E31,Q$7&lt;=$F31),1,"")</x:f>
      </x:c>
      <x:c r="R31" s="230" t="str">
        <x:f>IF(AND(R$7&gt;=$E31,R$7&lt;=$F31),1,"")</x:f>
      </x:c>
      <x:c r="S31" s="228" t="str">
        <x:f>IF(AND(S$7&gt;=$E31,S$7&lt;=$F31),1,"")</x:f>
      </x:c>
      <x:c r="T31" s="228" t="str">
        <x:f>IF(AND(T$7&gt;=$E31,T$7&lt;=$F31),1,"")</x:f>
      </x:c>
      <x:c r="U31" s="228" t="str">
        <x:f>IF(AND(U$7&gt;=$E31,U$7&lt;=$F31),1,"")</x:f>
      </x:c>
      <x:c r="V31" s="228" t="str">
        <x:f>IF(AND(V$7&gt;=$E31,V$7&lt;=$F31),1,"")</x:f>
      </x:c>
      <x:c r="W31" s="228" t="str">
        <x:f>IF(AND(W$7&gt;=$E31,W$7&lt;=$F31),1,"")</x:f>
      </x:c>
      <x:c r="X31" s="232" t="str">
        <x:f>IF(AND(X$7&gt;=$E31,X$7&lt;=$F31),1,"")</x:f>
      </x:c>
      <x:c r="Y31" s="232" t="str">
        <x:f>IF(AND(Y$7&gt;=$E31,Y$7&lt;=$F31),1,"")</x:f>
      </x:c>
      <x:c r="Z31" s="232" t="str">
        <x:f>IF(AND(Z$7&gt;=$E31,Z$7&lt;=$F31),1,"")</x:f>
      </x:c>
      <x:c r="AA31" s="232" t="str">
        <x:f>IF(AND(AA$7&gt;=$E31,AA$7&lt;=$F31),1,"")</x:f>
      </x:c>
      <x:c r="AB31" s="232" t="str">
        <x:f>IF(AND(AB$7&gt;=$E31,AB$7&lt;=$F31),1,"")</x:f>
      </x:c>
      <x:c r="AC31" s="228" t="n">
        <x:f>IF(AND(AC$7&gt;=$E31,AC$7&lt;=$F31),1,"")</x:f>
        <x:v>1</x:v>
      </x:c>
      <x:c r="AD31" s="228" t="n">
        <x:f>IF(AND(AD$7&gt;=$E31,AD$7&lt;=$F31),1,"")</x:f>
        <x:v>1</x:v>
      </x:c>
      <x:c r="AE31" s="228" t="n">
        <x:f>IF(AND(AE$7&gt;=$E31,AE$7&lt;=$F31),1,"")</x:f>
        <x:v>1</x:v>
      </x:c>
      <x:c r="AF31" s="228" t="n">
        <x:f>IF(AND(AF$7&gt;=$E31,AF$7&lt;=$F31),1,"")</x:f>
        <x:v>1</x:v>
      </x:c>
      <x:c r="AG31" s="228" t="n">
        <x:f>IF(AND(AG$7&gt;=$E31,AG$7&lt;=$F31),1,"")</x:f>
        <x:v>1</x:v>
      </x:c>
      <x:c r="AH31" s="235" t="n">
        <x:f>IF(AND(AH$7&gt;=$E31,AH$7&lt;=$F31),1,"")</x:f>
        <x:v>1</x:v>
      </x:c>
      <x:c r="AI31" s="235" t="n">
        <x:f>IF(AND(AI$7&gt;=$E31,AI$7&lt;=$F31),1,"")</x:f>
        <x:v>1</x:v>
      </x:c>
      <x:c r="AJ31" s="235" t="n">
        <x:f>IF(AND(AJ$7&gt;=$E31,AJ$7&lt;=$F31),1,"")</x:f>
        <x:v>1</x:v>
      </x:c>
      <x:c r="AK31" s="235" t="n">
        <x:f>IF(AND(AK$7&gt;=$E31,AK$7&lt;=$F31),1,"")</x:f>
        <x:v>1</x:v>
      </x:c>
      <x:c r="AL31" s="235" t="n">
        <x:f>IF(AND(AL$7&gt;=$E31,AL$7&lt;=$F31),1,"")</x:f>
        <x:v>1</x:v>
      </x:c>
      <x:c r="AM31" s="228" t="str">
        <x:f>IF(AND(AM$7&gt;=$E31,AM$7&lt;=$F31),1,"")</x:f>
      </x:c>
      <x:c r="AN31" s="228" t="str">
        <x:f>IF(AND(AN$7&gt;=$E31,AN$7&lt;=$F31),1,"")</x:f>
      </x:c>
      <x:c r="AO31" s="228" t="str">
        <x:f>IF(AND(AO$7&gt;=$E31,AO$7&lt;=$F31),1,"")</x:f>
      </x:c>
      <x:c r="AP31" s="228" t="str">
        <x:f>IF(AND(AP$7&gt;=$E31,AP$7&lt;=$F31),1,"")</x:f>
      </x:c>
      <x:c r="AQ31" s="228" t="str">
        <x:f>IF(AND(AQ$7&gt;=$E31,AQ$7&lt;=$F31),1,"")</x:f>
      </x:c>
      <x:c r="AR31" s="237" t="str">
        <x:f>IF(AND(AR$7&gt;=$E31,AR$7&lt;=$F31),1,"")</x:f>
      </x:c>
      <x:c r="AS31" s="237" t="str">
        <x:f>IF(AND(AS$7&gt;=$E31,AS$7&lt;=$F31),1,"")</x:f>
      </x:c>
      <x:c r="AT31" s="237" t="str">
        <x:f>IF(AND(AT$7&gt;=$E31,AT$7&lt;=$F31),1,"")</x:f>
      </x:c>
      <x:c r="AU31" s="237" t="str">
        <x:f>IF(AND(AU$7&gt;=$E31,AU$7&lt;=$F31),1,"")</x:f>
      </x:c>
      <x:c r="AV31" s="237" t="str">
        <x:f>IF(AND(AV$7&gt;=$E31,AV$7&lt;=$F31),1,"")</x:f>
      </x:c>
      <x:c r="AW31" s="243" t="str">
        <x:f>IF(AND(AW$7&gt;=$E31,AW$7&lt;=$F31),1,"")</x:f>
      </x:c>
      <x:c r="AX31" s="243" t="str">
        <x:f>IF(AND(AX$7&gt;=$E31,AX$7&lt;=$F31),1,"")</x:f>
      </x:c>
      <x:c r="AY31" s="243" t="str">
        <x:f>IF(AND(AY$7&gt;=$E31,AY$7&lt;=$F31),1,"")</x:f>
      </x:c>
      <x:c r="AZ31" s="243" t="str">
        <x:f>IF(AND(AZ$7&gt;=$E31,AZ$7&lt;=$F31),1,"")</x:f>
      </x:c>
      <x:c r="BA31" s="243" t="str">
        <x:f>IF(AND(BA$7&gt;=$E31,BA$7&lt;=$F31),1,"")</x:f>
      </x:c>
      <x:c r="BB31" s="243" t="str">
        <x:f>IF(AND(BB$7&gt;=$E31,BB$7&lt;=$F31),1,"")</x:f>
      </x:c>
      <x:c r="BC31" s="243" t="str">
        <x:f>IF(AND(BC$7&gt;=$E31,BC$7&lt;=$F31),1,"")</x:f>
      </x:c>
      <x:c r="BD31" s="243" t="str">
        <x:f>IF(AND(BD$7&gt;=$E31,BD$7&lt;=$F31),1,"")</x:f>
      </x:c>
      <x:c r="BE31" s="243" t="str">
        <x:f>IF(AND(BE$7&gt;=$E31,BE$7&lt;=$F31),1,"")</x:f>
      </x:c>
      <x:c r="BF31" s="243" t="str">
        <x:f>IF(AND(BF$7&gt;=$E31,BF$7&lt;=$F31),1,"")</x:f>
      </x:c>
      <x:c r="BG31" s="243" t="str">
        <x:f>IF(AND(BG$7&gt;=$E31,BG$7&lt;=$F31),1,"")</x:f>
      </x:c>
      <x:c r="BH31" s="243" t="str">
        <x:f>IF(AND(BH$7&gt;=$E31,BH$7&lt;=$F31),1,"")</x:f>
      </x:c>
      <x:c r="BI31" s="243" t="str">
        <x:f>IF(AND(BI$7&gt;=$E31,BI$7&lt;=$F31),1,"")</x:f>
      </x:c>
      <x:c r="BJ31" s="243" t="str">
        <x:f>IF(AND(BJ$7&gt;=$E31,BJ$7&lt;=$F31),1,"")</x:f>
      </x:c>
      <x:c r="BK31" s="243" t="str">
        <x:f>IF(AND(BK$7&gt;=$E31,BK$7&lt;=$F31),1,"")</x:f>
      </x:c>
      <x:c r="BL31" s="243" t="str">
        <x:f>IF(AND(BL$7&gt;=$E31,BL$7&lt;=$F31),1,"")</x:f>
      </x:c>
      <x:c r="BM31" s="243" t="str">
        <x:f>IF(AND(BM$7&gt;=$E31,BM$7&lt;=$F31),1,"")</x:f>
      </x:c>
      <x:c r="BN31" s="243" t="str">
        <x:f>IF(AND(BN$7&gt;=$E31,BN$7&lt;=$F31),1,"")</x:f>
      </x:c>
      <x:c r="BO31" s="243" t="str">
        <x:f>IF(AND(BO$7&gt;=$E31,BO$7&lt;=$F31),1,"")</x:f>
      </x:c>
      <x:c r="BP31" s="243" t="str">
        <x:f>IF(AND(BP$7&gt;=$E31,BP$7&lt;=$F31),1,"")</x:f>
      </x:c>
      <x:c r="BQ31" s="31"/>
    </x:row>
    <x:row r="32" ht="36" customHeight="1">
      <x:c r="A32" s="59"/>
      <x:c r="B32" s="283" t="str">
        <x:v>4.2</x:v>
      </x:c>
      <x:c r="C32" s="284" t="str">
        <x:v>병렬 실행·PM 수정 재검증·종단 흐름 통합</x:v>
      </x:c>
      <x:c r="D32" s="283" t="str">
        <x:v>전원</x:v>
      </x:c>
      <x:c r="E32" s="279" t="n">
        <x:v>46251</x:v>
      </x:c>
      <x:c r="F32" s="279" t="n">
        <x:v>46259</x:v>
      </x:c>
      <x:c r="G32" s="285" t="n">
        <x:f>IF(OR(E32="",F32=""),"",F32-E32+1)</x:f>
        <x:v>9</x:v>
      </x:c>
      <x:c r="H32" s="281" t="n">
        <x:v>0</x:v>
      </x:c>
      <x:c r="I32" s="229" t="str">
        <x:f>IF(AND(I$7&gt;=$E32,I$7&lt;=$F32),1,"")</x:f>
      </x:c>
      <x:c r="J32" s="229" t="str">
        <x:f>IF(AND(J$7&gt;=$E32,J$7&lt;=$F32),1,"")</x:f>
      </x:c>
      <x:c r="K32" s="229" t="str">
        <x:f>IF(AND(K$7&gt;=$E32,K$7&lt;=$F32),1,"")</x:f>
      </x:c>
      <x:c r="L32" s="229" t="str">
        <x:f>IF(AND(L$7&gt;=$E32,L$7&lt;=$F32),1,"")</x:f>
      </x:c>
      <x:c r="M32" s="229" t="str">
        <x:f>IF(AND(M$7&gt;=$E32,M$7&lt;=$F32),1,"")</x:f>
      </x:c>
      <x:c r="N32" s="231" t="str">
        <x:f>IF(AND(N$7&gt;=$E32,N$7&lt;=$F32),1,"")</x:f>
      </x:c>
      <x:c r="O32" s="231" t="str">
        <x:f>IF(AND(O$7&gt;=$E32,O$7&lt;=$F32),1,"")</x:f>
      </x:c>
      <x:c r="P32" s="231" t="str">
        <x:f>IF(AND(P$7&gt;=$E32,P$7&lt;=$F32),1,"")</x:f>
      </x:c>
      <x:c r="Q32" s="231" t="str">
        <x:f>IF(AND(Q$7&gt;=$E32,Q$7&lt;=$F32),1,"")</x:f>
      </x:c>
      <x:c r="R32" s="231" t="str">
        <x:f>IF(AND(R$7&gt;=$E32,R$7&lt;=$F32),1,"")</x:f>
      </x:c>
      <x:c r="S32" s="229" t="str">
        <x:f>IF(AND(S$7&gt;=$E32,S$7&lt;=$F32),1,"")</x:f>
      </x:c>
      <x:c r="T32" s="229" t="str">
        <x:f>IF(AND(T$7&gt;=$E32,T$7&lt;=$F32),1,"")</x:f>
      </x:c>
      <x:c r="U32" s="229" t="str">
        <x:f>IF(AND(U$7&gt;=$E32,U$7&lt;=$F32),1,"")</x:f>
      </x:c>
      <x:c r="V32" s="229" t="str">
        <x:f>IF(AND(V$7&gt;=$E32,V$7&lt;=$F32),1,"")</x:f>
      </x:c>
      <x:c r="W32" s="229" t="str">
        <x:f>IF(AND(W$7&gt;=$E32,W$7&lt;=$F32),1,"")</x:f>
      </x:c>
      <x:c r="X32" s="233" t="str">
        <x:f>IF(AND(X$7&gt;=$E32,X$7&lt;=$F32),1,"")</x:f>
      </x:c>
      <x:c r="Y32" s="233" t="str">
        <x:f>IF(AND(Y$7&gt;=$E32,Y$7&lt;=$F32),1,"")</x:f>
      </x:c>
      <x:c r="Z32" s="233" t="str">
        <x:f>IF(AND(Z$7&gt;=$E32,Z$7&lt;=$F32),1,"")</x:f>
      </x:c>
      <x:c r="AA32" s="233" t="str">
        <x:f>IF(AND(AA$7&gt;=$E32,AA$7&lt;=$F32),1,"")</x:f>
      </x:c>
      <x:c r="AB32" s="233" t="str">
        <x:f>IF(AND(AB$7&gt;=$E32,AB$7&lt;=$F32),1,"")</x:f>
      </x:c>
      <x:c r="AC32" s="229" t="str">
        <x:f>IF(AND(AC$7&gt;=$E32,AC$7&lt;=$F32),1,"")</x:f>
      </x:c>
      <x:c r="AD32" s="229" t="str">
        <x:f>IF(AND(AD$7&gt;=$E32,AD$7&lt;=$F32),1,"")</x:f>
      </x:c>
      <x:c r="AE32" s="229" t="str">
        <x:f>IF(AND(AE$7&gt;=$E32,AE$7&lt;=$F32),1,"")</x:f>
      </x:c>
      <x:c r="AF32" s="229" t="str">
        <x:f>IF(AND(AF$7&gt;=$E32,AF$7&lt;=$F32),1,"")</x:f>
      </x:c>
      <x:c r="AG32" s="229" t="str">
        <x:f>IF(AND(AG$7&gt;=$E32,AG$7&lt;=$F32),1,"")</x:f>
      </x:c>
      <x:c r="AH32" s="236" t="n">
        <x:f>IF(AND(AH$7&gt;=$E32,AH$7&lt;=$F32),1,"")</x:f>
        <x:v>1</x:v>
      </x:c>
      <x:c r="AI32" s="236" t="n">
        <x:f>IF(AND(AI$7&gt;=$E32,AI$7&lt;=$F32),1,"")</x:f>
        <x:v>1</x:v>
      </x:c>
      <x:c r="AJ32" s="236" t="n">
        <x:f>IF(AND(AJ$7&gt;=$E32,AJ$7&lt;=$F32),1,"")</x:f>
        <x:v>1</x:v>
      </x:c>
      <x:c r="AK32" s="236" t="n">
        <x:f>IF(AND(AK$7&gt;=$E32,AK$7&lt;=$F32),1,"")</x:f>
        <x:v>1</x:v>
      </x:c>
      <x:c r="AL32" s="236" t="n">
        <x:f>IF(AND(AL$7&gt;=$E32,AL$7&lt;=$F32),1,"")</x:f>
        <x:v>1</x:v>
      </x:c>
      <x:c r="AM32" s="229" t="n">
        <x:f>IF(AND(AM$7&gt;=$E32,AM$7&lt;=$F32),1,"")</x:f>
        <x:v>1</x:v>
      </x:c>
      <x:c r="AN32" s="229" t="n">
        <x:f>IF(AND(AN$7&gt;=$E32,AN$7&lt;=$F32),1,"")</x:f>
        <x:v>1</x:v>
      </x:c>
      <x:c r="AO32" s="229" t="str">
        <x:f>IF(AND(AO$7&gt;=$E32,AO$7&lt;=$F32),1,"")</x:f>
      </x:c>
      <x:c r="AP32" s="229" t="str">
        <x:f>IF(AND(AP$7&gt;=$E32,AP$7&lt;=$F32),1,"")</x:f>
      </x:c>
      <x:c r="AQ32" s="229" t="str">
        <x:f>IF(AND(AQ$7&gt;=$E32,AQ$7&lt;=$F32),1,"")</x:f>
      </x:c>
      <x:c r="AR32" s="238" t="str">
        <x:f>IF(AND(AR$7&gt;=$E32,AR$7&lt;=$F32),1,"")</x:f>
      </x:c>
      <x:c r="AS32" s="238" t="str">
        <x:f>IF(AND(AS$7&gt;=$E32,AS$7&lt;=$F32),1,"")</x:f>
      </x:c>
      <x:c r="AT32" s="238" t="str">
        <x:f>IF(AND(AT$7&gt;=$E32,AT$7&lt;=$F32),1,"")</x:f>
      </x:c>
      <x:c r="AU32" s="238" t="str">
        <x:f>IF(AND(AU$7&gt;=$E32,AU$7&lt;=$F32),1,"")</x:f>
      </x:c>
      <x:c r="AV32" s="238" t="str">
        <x:f>IF(AND(AV$7&gt;=$E32,AV$7&lt;=$F32),1,"")</x:f>
      </x:c>
      <x:c r="AW32" s="244" t="str">
        <x:f>IF(AND(AW$7&gt;=$E32,AW$7&lt;=$F32),1,"")</x:f>
      </x:c>
      <x:c r="AX32" s="244" t="str">
        <x:f>IF(AND(AX$7&gt;=$E32,AX$7&lt;=$F32),1,"")</x:f>
      </x:c>
      <x:c r="AY32" s="244" t="str">
        <x:f>IF(AND(AY$7&gt;=$E32,AY$7&lt;=$F32),1,"")</x:f>
      </x:c>
      <x:c r="AZ32" s="244" t="str">
        <x:f>IF(AND(AZ$7&gt;=$E32,AZ$7&lt;=$F32),1,"")</x:f>
      </x:c>
      <x:c r="BA32" s="244" t="str">
        <x:f>IF(AND(BA$7&gt;=$E32,BA$7&lt;=$F32),1,"")</x:f>
      </x:c>
      <x:c r="BB32" s="244" t="str">
        <x:f>IF(AND(BB$7&gt;=$E32,BB$7&lt;=$F32),1,"")</x:f>
      </x:c>
      <x:c r="BC32" s="244" t="str">
        <x:f>IF(AND(BC$7&gt;=$E32,BC$7&lt;=$F32),1,"")</x:f>
      </x:c>
      <x:c r="BD32" s="244" t="str">
        <x:f>IF(AND(BD$7&gt;=$E32,BD$7&lt;=$F32),1,"")</x:f>
      </x:c>
      <x:c r="BE32" s="244" t="str">
        <x:f>IF(AND(BE$7&gt;=$E32,BE$7&lt;=$F32),1,"")</x:f>
      </x:c>
      <x:c r="BF32" s="244" t="str">
        <x:f>IF(AND(BF$7&gt;=$E32,BF$7&lt;=$F32),1,"")</x:f>
      </x:c>
      <x:c r="BG32" s="244" t="str">
        <x:f>IF(AND(BG$7&gt;=$E32,BG$7&lt;=$F32),1,"")</x:f>
      </x:c>
      <x:c r="BH32" s="244" t="str">
        <x:f>IF(AND(BH$7&gt;=$E32,BH$7&lt;=$F32),1,"")</x:f>
      </x:c>
      <x:c r="BI32" s="244" t="str">
        <x:f>IF(AND(BI$7&gt;=$E32,BI$7&lt;=$F32),1,"")</x:f>
      </x:c>
      <x:c r="BJ32" s="244" t="str">
        <x:f>IF(AND(BJ$7&gt;=$E32,BJ$7&lt;=$F32),1,"")</x:f>
      </x:c>
      <x:c r="BK32" s="244" t="str">
        <x:f>IF(AND(BK$7&gt;=$E32,BK$7&lt;=$F32),1,"")</x:f>
      </x:c>
      <x:c r="BL32" s="244" t="str">
        <x:f>IF(AND(BL$7&gt;=$E32,BL$7&lt;=$F32),1,"")</x:f>
      </x:c>
      <x:c r="BM32" s="244" t="str">
        <x:f>IF(AND(BM$7&gt;=$E32,BM$7&lt;=$F32),1,"")</x:f>
      </x:c>
      <x:c r="BN32" s="244" t="str">
        <x:f>IF(AND(BN$7&gt;=$E32,BN$7&lt;=$F32),1,"")</x:f>
      </x:c>
      <x:c r="BO32" s="244" t="str">
        <x:f>IF(AND(BO$7&gt;=$E32,BO$7&lt;=$F32),1,"")</x:f>
      </x:c>
      <x:c r="BP32" s="244" t="str">
        <x:f>IF(AND(BP$7&gt;=$E32,BP$7&lt;=$F32),1,"")</x:f>
      </x:c>
      <x:c r="BQ32" s="59"/>
    </x:row>
    <x:row r="33" ht="36" customHeight="1">
      <x:c r="A33" s="59"/>
      <x:c r="B33" s="283" t="str">
        <x:v>4.3</x:v>
      </x:c>
      <x:c r="C33" s="284" t="str">
        <x:v>최소 데이터셋·PASS/조건부/REJECT 평가 시나리오</x:v>
      </x:c>
      <x:c r="D33" s="283" t="str">
        <x:v>QA·데이터</x:v>
      </x:c>
      <x:c r="E33" s="279" t="n">
        <x:v>46254</x:v>
      </x:c>
      <x:c r="F33" s="279" t="n">
        <x:v>46262</x:v>
      </x:c>
      <x:c r="G33" s="285" t="n">
        <x:f>IF(OR(E33="",F33=""),"",F33-E33+1)</x:f>
        <x:v>9</x:v>
      </x:c>
      <x:c r="H33" s="281" t="n">
        <x:v>0</x:v>
      </x:c>
      <x:c r="I33" s="229" t="str">
        <x:f>IF(AND(I$7&gt;=$E33,I$7&lt;=$F33),1,"")</x:f>
      </x:c>
      <x:c r="J33" s="229" t="str">
        <x:f>IF(AND(J$7&gt;=$E33,J$7&lt;=$F33),1,"")</x:f>
      </x:c>
      <x:c r="K33" s="229" t="str">
        <x:f>IF(AND(K$7&gt;=$E33,K$7&lt;=$F33),1,"")</x:f>
      </x:c>
      <x:c r="L33" s="229" t="str">
        <x:f>IF(AND(L$7&gt;=$E33,L$7&lt;=$F33),1,"")</x:f>
      </x:c>
      <x:c r="M33" s="229" t="str">
        <x:f>IF(AND(M$7&gt;=$E33,M$7&lt;=$F33),1,"")</x:f>
      </x:c>
      <x:c r="N33" s="231" t="str">
        <x:f>IF(AND(N$7&gt;=$E33,N$7&lt;=$F33),1,"")</x:f>
      </x:c>
      <x:c r="O33" s="231" t="str">
        <x:f>IF(AND(O$7&gt;=$E33,O$7&lt;=$F33),1,"")</x:f>
      </x:c>
      <x:c r="P33" s="231" t="str">
        <x:f>IF(AND(P$7&gt;=$E33,P$7&lt;=$F33),1,"")</x:f>
      </x:c>
      <x:c r="Q33" s="231" t="str">
        <x:f>IF(AND(Q$7&gt;=$E33,Q$7&lt;=$F33),1,"")</x:f>
      </x:c>
      <x:c r="R33" s="231" t="str">
        <x:f>IF(AND(R$7&gt;=$E33,R$7&lt;=$F33),1,"")</x:f>
      </x:c>
      <x:c r="S33" s="229" t="str">
        <x:f>IF(AND(S$7&gt;=$E33,S$7&lt;=$F33),1,"")</x:f>
      </x:c>
      <x:c r="T33" s="229" t="str">
        <x:f>IF(AND(T$7&gt;=$E33,T$7&lt;=$F33),1,"")</x:f>
      </x:c>
      <x:c r="U33" s="229" t="str">
        <x:f>IF(AND(U$7&gt;=$E33,U$7&lt;=$F33),1,"")</x:f>
      </x:c>
      <x:c r="V33" s="229" t="str">
        <x:f>IF(AND(V$7&gt;=$E33,V$7&lt;=$F33),1,"")</x:f>
      </x:c>
      <x:c r="W33" s="229" t="str">
        <x:f>IF(AND(W$7&gt;=$E33,W$7&lt;=$F33),1,"")</x:f>
      </x:c>
      <x:c r="X33" s="233" t="str">
        <x:f>IF(AND(X$7&gt;=$E33,X$7&lt;=$F33),1,"")</x:f>
      </x:c>
      <x:c r="Y33" s="233" t="str">
        <x:f>IF(AND(Y$7&gt;=$E33,Y$7&lt;=$F33),1,"")</x:f>
      </x:c>
      <x:c r="Z33" s="233" t="str">
        <x:f>IF(AND(Z$7&gt;=$E33,Z$7&lt;=$F33),1,"")</x:f>
      </x:c>
      <x:c r="AA33" s="233" t="str">
        <x:f>IF(AND(AA$7&gt;=$E33,AA$7&lt;=$F33),1,"")</x:f>
      </x:c>
      <x:c r="AB33" s="233" t="str">
        <x:f>IF(AND(AB$7&gt;=$E33,AB$7&lt;=$F33),1,"")</x:f>
      </x:c>
      <x:c r="AC33" s="229" t="str">
        <x:f>IF(AND(AC$7&gt;=$E33,AC$7&lt;=$F33),1,"")</x:f>
      </x:c>
      <x:c r="AD33" s="229" t="str">
        <x:f>IF(AND(AD$7&gt;=$E33,AD$7&lt;=$F33),1,"")</x:f>
      </x:c>
      <x:c r="AE33" s="229" t="str">
        <x:f>IF(AND(AE$7&gt;=$E33,AE$7&lt;=$F33),1,"")</x:f>
      </x:c>
      <x:c r="AF33" s="229" t="str">
        <x:f>IF(AND(AF$7&gt;=$E33,AF$7&lt;=$F33),1,"")</x:f>
      </x:c>
      <x:c r="AG33" s="229" t="str">
        <x:f>IF(AND(AG$7&gt;=$E33,AG$7&lt;=$F33),1,"")</x:f>
      </x:c>
      <x:c r="AH33" s="236" t="str">
        <x:f>IF(AND(AH$7&gt;=$E33,AH$7&lt;=$F33),1,"")</x:f>
      </x:c>
      <x:c r="AI33" s="236" t="str">
        <x:f>IF(AND(AI$7&gt;=$E33,AI$7&lt;=$F33),1,"")</x:f>
      </x:c>
      <x:c r="AJ33" s="236" t="str">
        <x:f>IF(AND(AJ$7&gt;=$E33,AJ$7&lt;=$F33),1,"")</x:f>
      </x:c>
      <x:c r="AK33" s="236" t="n">
        <x:f>IF(AND(AK$7&gt;=$E33,AK$7&lt;=$F33),1,"")</x:f>
        <x:v>1</x:v>
      </x:c>
      <x:c r="AL33" s="236" t="n">
        <x:f>IF(AND(AL$7&gt;=$E33,AL$7&lt;=$F33),1,"")</x:f>
        <x:v>1</x:v>
      </x:c>
      <x:c r="AM33" s="229" t="n">
        <x:f>IF(AND(AM$7&gt;=$E33,AM$7&lt;=$F33),1,"")</x:f>
        <x:v>1</x:v>
      </x:c>
      <x:c r="AN33" s="229" t="n">
        <x:f>IF(AND(AN$7&gt;=$E33,AN$7&lt;=$F33),1,"")</x:f>
        <x:v>1</x:v>
      </x:c>
      <x:c r="AO33" s="229" t="n">
        <x:f>IF(AND(AO$7&gt;=$E33,AO$7&lt;=$F33),1,"")</x:f>
        <x:v>1</x:v>
      </x:c>
      <x:c r="AP33" s="229" t="n">
        <x:f>IF(AND(AP$7&gt;=$E33,AP$7&lt;=$F33),1,"")</x:f>
        <x:v>1</x:v>
      </x:c>
      <x:c r="AQ33" s="229" t="n">
        <x:f>IF(AND(AQ$7&gt;=$E33,AQ$7&lt;=$F33),1,"")</x:f>
        <x:v>1</x:v>
      </x:c>
      <x:c r="AR33" s="238" t="str">
        <x:f>IF(AND(AR$7&gt;=$E33,AR$7&lt;=$F33),1,"")</x:f>
      </x:c>
      <x:c r="AS33" s="238" t="str">
        <x:f>IF(AND(AS$7&gt;=$E33,AS$7&lt;=$F33),1,"")</x:f>
      </x:c>
      <x:c r="AT33" s="238" t="str">
        <x:f>IF(AND(AT$7&gt;=$E33,AT$7&lt;=$F33),1,"")</x:f>
      </x:c>
      <x:c r="AU33" s="238" t="str">
        <x:f>IF(AND(AU$7&gt;=$E33,AU$7&lt;=$F33),1,"")</x:f>
      </x:c>
      <x:c r="AV33" s="238" t="str">
        <x:f>IF(AND(AV$7&gt;=$E33,AV$7&lt;=$F33),1,"")</x:f>
      </x:c>
      <x:c r="AW33" s="244" t="str">
        <x:f>IF(AND(AW$7&gt;=$E33,AW$7&lt;=$F33),1,"")</x:f>
      </x:c>
      <x:c r="AX33" s="244" t="str">
        <x:f>IF(AND(AX$7&gt;=$E33,AX$7&lt;=$F33),1,"")</x:f>
      </x:c>
      <x:c r="AY33" s="244" t="str">
        <x:f>IF(AND(AY$7&gt;=$E33,AY$7&lt;=$F33),1,"")</x:f>
      </x:c>
      <x:c r="AZ33" s="244" t="str">
        <x:f>IF(AND(AZ$7&gt;=$E33,AZ$7&lt;=$F33),1,"")</x:f>
      </x:c>
      <x:c r="BA33" s="244" t="str">
        <x:f>IF(AND(BA$7&gt;=$E33,BA$7&lt;=$F33),1,"")</x:f>
      </x:c>
      <x:c r="BB33" s="244" t="str">
        <x:f>IF(AND(BB$7&gt;=$E33,BB$7&lt;=$F33),1,"")</x:f>
      </x:c>
      <x:c r="BC33" s="244" t="str">
        <x:f>IF(AND(BC$7&gt;=$E33,BC$7&lt;=$F33),1,"")</x:f>
      </x:c>
      <x:c r="BD33" s="244" t="str">
        <x:f>IF(AND(BD$7&gt;=$E33,BD$7&lt;=$F33),1,"")</x:f>
      </x:c>
      <x:c r="BE33" s="244" t="str">
        <x:f>IF(AND(BE$7&gt;=$E33,BE$7&lt;=$F33),1,"")</x:f>
      </x:c>
      <x:c r="BF33" s="244" t="str">
        <x:f>IF(AND(BF$7&gt;=$E33,BF$7&lt;=$F33),1,"")</x:f>
      </x:c>
      <x:c r="BG33" s="244" t="str">
        <x:f>IF(AND(BG$7&gt;=$E33,BG$7&lt;=$F33),1,"")</x:f>
      </x:c>
      <x:c r="BH33" s="244" t="str">
        <x:f>IF(AND(BH$7&gt;=$E33,BH$7&lt;=$F33),1,"")</x:f>
      </x:c>
      <x:c r="BI33" s="244" t="str">
        <x:f>IF(AND(BI$7&gt;=$E33,BI$7&lt;=$F33),1,"")</x:f>
      </x:c>
      <x:c r="BJ33" s="244" t="str">
        <x:f>IF(AND(BJ$7&gt;=$E33,BJ$7&lt;=$F33),1,"")</x:f>
      </x:c>
      <x:c r="BK33" s="244" t="str">
        <x:f>IF(AND(BK$7&gt;=$E33,BK$7&lt;=$F33),1,"")</x:f>
      </x:c>
      <x:c r="BL33" s="244" t="str">
        <x:f>IF(AND(BL$7&gt;=$E33,BL$7&lt;=$F33),1,"")</x:f>
      </x:c>
      <x:c r="BM33" s="244" t="str">
        <x:f>IF(AND(BM$7&gt;=$E33,BM$7&lt;=$F33),1,"")</x:f>
      </x:c>
      <x:c r="BN33" s="244" t="str">
        <x:f>IF(AND(BN$7&gt;=$E33,BN$7&lt;=$F33),1,"")</x:f>
      </x:c>
      <x:c r="BO33" s="244" t="str">
        <x:f>IF(AND(BO$7&gt;=$E33,BO$7&lt;=$F33),1,"")</x:f>
      </x:c>
      <x:c r="BP33" s="244" t="str">
        <x:f>IF(AND(BP$7&gt;=$E33,BP$7&lt;=$F33),1,"")</x:f>
      </x:c>
      <x:c r="BQ33" s="59"/>
    </x:row>
    <x:row r="34" ht="36" customHeight="1">
      <x:c r="A34" s="59"/>
      <x:c r="B34" s="283" t="str">
        <x:v>4.4</x:v>
      </x:c>
      <x:c r="C34" s="284" t="str">
        <x:v>통합 테스트·보안·감사·성능·오류 복구 점검</x:v>
      </x:c>
      <x:c r="D34" s="283" t="str">
        <x:v>전원</x:v>
      </x:c>
      <x:c r="E34" s="279" t="n">
        <x:v>46258</x:v>
      </x:c>
      <x:c r="F34" s="279" t="n">
        <x:v>46267</x:v>
      </x:c>
      <x:c r="G34" s="285" t="n">
        <x:f>IF(OR(E34="",F34=""),"",F34-E34+1)</x:f>
        <x:v>10</x:v>
      </x:c>
      <x:c r="H34" s="281" t="n">
        <x:v>0</x:v>
      </x:c>
      <x:c r="I34" s="229" t="str">
        <x:f>IF(AND(I$7&gt;=$E34,I$7&lt;=$F34),1,"")</x:f>
      </x:c>
      <x:c r="J34" s="229" t="str">
        <x:f>IF(AND(J$7&gt;=$E34,J$7&lt;=$F34),1,"")</x:f>
      </x:c>
      <x:c r="K34" s="229" t="str">
        <x:f>IF(AND(K$7&gt;=$E34,K$7&lt;=$F34),1,"")</x:f>
      </x:c>
      <x:c r="L34" s="229" t="str">
        <x:f>IF(AND(L$7&gt;=$E34,L$7&lt;=$F34),1,"")</x:f>
      </x:c>
      <x:c r="M34" s="229" t="str">
        <x:f>IF(AND(M$7&gt;=$E34,M$7&lt;=$F34),1,"")</x:f>
      </x:c>
      <x:c r="N34" s="231" t="str">
        <x:f>IF(AND(N$7&gt;=$E34,N$7&lt;=$F34),1,"")</x:f>
      </x:c>
      <x:c r="O34" s="231" t="str">
        <x:f>IF(AND(O$7&gt;=$E34,O$7&lt;=$F34),1,"")</x:f>
      </x:c>
      <x:c r="P34" s="231" t="str">
        <x:f>IF(AND(P$7&gt;=$E34,P$7&lt;=$F34),1,"")</x:f>
      </x:c>
      <x:c r="Q34" s="231" t="str">
        <x:f>IF(AND(Q$7&gt;=$E34,Q$7&lt;=$F34),1,"")</x:f>
      </x:c>
      <x:c r="R34" s="231" t="str">
        <x:f>IF(AND(R$7&gt;=$E34,R$7&lt;=$F34),1,"")</x:f>
      </x:c>
      <x:c r="S34" s="229" t="str">
        <x:f>IF(AND(S$7&gt;=$E34,S$7&lt;=$F34),1,"")</x:f>
      </x:c>
      <x:c r="T34" s="229" t="str">
        <x:f>IF(AND(T$7&gt;=$E34,T$7&lt;=$F34),1,"")</x:f>
      </x:c>
      <x:c r="U34" s="229" t="str">
        <x:f>IF(AND(U$7&gt;=$E34,U$7&lt;=$F34),1,"")</x:f>
      </x:c>
      <x:c r="V34" s="229" t="str">
        <x:f>IF(AND(V$7&gt;=$E34,V$7&lt;=$F34),1,"")</x:f>
      </x:c>
      <x:c r="W34" s="229" t="str">
        <x:f>IF(AND(W$7&gt;=$E34,W$7&lt;=$F34),1,"")</x:f>
      </x:c>
      <x:c r="X34" s="233" t="str">
        <x:f>IF(AND(X$7&gt;=$E34,X$7&lt;=$F34),1,"")</x:f>
      </x:c>
      <x:c r="Y34" s="233" t="str">
        <x:f>IF(AND(Y$7&gt;=$E34,Y$7&lt;=$F34),1,"")</x:f>
      </x:c>
      <x:c r="Z34" s="233" t="str">
        <x:f>IF(AND(Z$7&gt;=$E34,Z$7&lt;=$F34),1,"")</x:f>
      </x:c>
      <x:c r="AA34" s="233" t="str">
        <x:f>IF(AND(AA$7&gt;=$E34,AA$7&lt;=$F34),1,"")</x:f>
      </x:c>
      <x:c r="AB34" s="233" t="str">
        <x:f>IF(AND(AB$7&gt;=$E34,AB$7&lt;=$F34),1,"")</x:f>
      </x:c>
      <x:c r="AC34" s="229" t="str">
        <x:f>IF(AND(AC$7&gt;=$E34,AC$7&lt;=$F34),1,"")</x:f>
      </x:c>
      <x:c r="AD34" s="229" t="str">
        <x:f>IF(AND(AD$7&gt;=$E34,AD$7&lt;=$F34),1,"")</x:f>
      </x:c>
      <x:c r="AE34" s="229" t="str">
        <x:f>IF(AND(AE$7&gt;=$E34,AE$7&lt;=$F34),1,"")</x:f>
      </x:c>
      <x:c r="AF34" s="229" t="str">
        <x:f>IF(AND(AF$7&gt;=$E34,AF$7&lt;=$F34),1,"")</x:f>
      </x:c>
      <x:c r="AG34" s="229" t="str">
        <x:f>IF(AND(AG$7&gt;=$E34,AG$7&lt;=$F34),1,"")</x:f>
      </x:c>
      <x:c r="AH34" s="236" t="str">
        <x:f>IF(AND(AH$7&gt;=$E34,AH$7&lt;=$F34),1,"")</x:f>
      </x:c>
      <x:c r="AI34" s="236" t="str">
        <x:f>IF(AND(AI$7&gt;=$E34,AI$7&lt;=$F34),1,"")</x:f>
      </x:c>
      <x:c r="AJ34" s="236" t="str">
        <x:f>IF(AND(AJ$7&gt;=$E34,AJ$7&lt;=$F34),1,"")</x:f>
      </x:c>
      <x:c r="AK34" s="236" t="str">
        <x:f>IF(AND(AK$7&gt;=$E34,AK$7&lt;=$F34),1,"")</x:f>
      </x:c>
      <x:c r="AL34" s="236" t="str">
        <x:f>IF(AND(AL$7&gt;=$E34,AL$7&lt;=$F34),1,"")</x:f>
      </x:c>
      <x:c r="AM34" s="229" t="n">
        <x:f>IF(AND(AM$7&gt;=$E34,AM$7&lt;=$F34),1,"")</x:f>
        <x:v>1</x:v>
      </x:c>
      <x:c r="AN34" s="229" t="n">
        <x:f>IF(AND(AN$7&gt;=$E34,AN$7&lt;=$F34),1,"")</x:f>
        <x:v>1</x:v>
      </x:c>
      <x:c r="AO34" s="229" t="n">
        <x:f>IF(AND(AO$7&gt;=$E34,AO$7&lt;=$F34),1,"")</x:f>
        <x:v>1</x:v>
      </x:c>
      <x:c r="AP34" s="229" t="n">
        <x:f>IF(AND(AP$7&gt;=$E34,AP$7&lt;=$F34),1,"")</x:f>
        <x:v>1</x:v>
      </x:c>
      <x:c r="AQ34" s="229" t="n">
        <x:f>IF(AND(AQ$7&gt;=$E34,AQ$7&lt;=$F34),1,"")</x:f>
        <x:v>1</x:v>
      </x:c>
      <x:c r="AR34" s="238" t="n">
        <x:f>IF(AND(AR$7&gt;=$E34,AR$7&lt;=$F34),1,"")</x:f>
        <x:v>1</x:v>
      </x:c>
      <x:c r="AS34" s="238" t="n">
        <x:f>IF(AND(AS$7&gt;=$E34,AS$7&lt;=$F34),1,"")</x:f>
        <x:v>1</x:v>
      </x:c>
      <x:c r="AT34" s="238" t="n">
        <x:f>IF(AND(AT$7&gt;=$E34,AT$7&lt;=$F34),1,"")</x:f>
        <x:v>1</x:v>
      </x:c>
      <x:c r="AU34" s="238" t="str">
        <x:f>IF(AND(AU$7&gt;=$E34,AU$7&lt;=$F34),1,"")</x:f>
      </x:c>
      <x:c r="AV34" s="238" t="str">
        <x:f>IF(AND(AV$7&gt;=$E34,AV$7&lt;=$F34),1,"")</x:f>
      </x:c>
      <x:c r="AW34" s="244" t="str">
        <x:f>IF(AND(AW$7&gt;=$E34,AW$7&lt;=$F34),1,"")</x:f>
      </x:c>
      <x:c r="AX34" s="244" t="str">
        <x:f>IF(AND(AX$7&gt;=$E34,AX$7&lt;=$F34),1,"")</x:f>
      </x:c>
      <x:c r="AY34" s="244" t="str">
        <x:f>IF(AND(AY$7&gt;=$E34,AY$7&lt;=$F34),1,"")</x:f>
      </x:c>
      <x:c r="AZ34" s="244" t="str">
        <x:f>IF(AND(AZ$7&gt;=$E34,AZ$7&lt;=$F34),1,"")</x:f>
      </x:c>
      <x:c r="BA34" s="244" t="str">
        <x:f>IF(AND(BA$7&gt;=$E34,BA$7&lt;=$F34),1,"")</x:f>
      </x:c>
      <x:c r="BB34" s="244" t="str">
        <x:f>IF(AND(BB$7&gt;=$E34,BB$7&lt;=$F34),1,"")</x:f>
      </x:c>
      <x:c r="BC34" s="244" t="str">
        <x:f>IF(AND(BC$7&gt;=$E34,BC$7&lt;=$F34),1,"")</x:f>
      </x:c>
      <x:c r="BD34" s="244" t="str">
        <x:f>IF(AND(BD$7&gt;=$E34,BD$7&lt;=$F34),1,"")</x:f>
      </x:c>
      <x:c r="BE34" s="244" t="str">
        <x:f>IF(AND(BE$7&gt;=$E34,BE$7&lt;=$F34),1,"")</x:f>
      </x:c>
      <x:c r="BF34" s="244" t="str">
        <x:f>IF(AND(BF$7&gt;=$E34,BF$7&lt;=$F34),1,"")</x:f>
      </x:c>
      <x:c r="BG34" s="244" t="str">
        <x:f>IF(AND(BG$7&gt;=$E34,BG$7&lt;=$F34),1,"")</x:f>
      </x:c>
      <x:c r="BH34" s="244" t="str">
        <x:f>IF(AND(BH$7&gt;=$E34,BH$7&lt;=$F34),1,"")</x:f>
      </x:c>
      <x:c r="BI34" s="244" t="str">
        <x:f>IF(AND(BI$7&gt;=$E34,BI$7&lt;=$F34),1,"")</x:f>
      </x:c>
      <x:c r="BJ34" s="244" t="str">
        <x:f>IF(AND(BJ$7&gt;=$E34,BJ$7&lt;=$F34),1,"")</x:f>
      </x:c>
      <x:c r="BK34" s="244" t="str">
        <x:f>IF(AND(BK$7&gt;=$E34,BK$7&lt;=$F34),1,"")</x:f>
      </x:c>
      <x:c r="BL34" s="244" t="str">
        <x:f>IF(AND(BL$7&gt;=$E34,BL$7&lt;=$F34),1,"")</x:f>
      </x:c>
      <x:c r="BM34" s="244" t="str">
        <x:f>IF(AND(BM$7&gt;=$E34,BM$7&lt;=$F34),1,"")</x:f>
      </x:c>
      <x:c r="BN34" s="244" t="str">
        <x:f>IF(AND(BN$7&gt;=$E34,BN$7&lt;=$F34),1,"")</x:f>
      </x:c>
      <x:c r="BO34" s="244" t="str">
        <x:f>IF(AND(BO$7&gt;=$E34,BO$7&lt;=$F34),1,"")</x:f>
      </x:c>
      <x:c r="BP34" s="244" t="str">
        <x:f>IF(AND(BP$7&gt;=$E34,BP$7&lt;=$F34),1,"")</x:f>
      </x:c>
      <x:c r="BQ34" s="59"/>
    </x:row>
    <x:row r="35" ht="36" customHeight="1">
      <x:c r="A35" s="59"/>
      <x:c r="B35" s="283" t="str">
        <x:v>4.5</x:v>
      </x:c>
      <x:c r="C35" s="284" t="str">
        <x:v>데모 시나리오·발표자료·최종 산출물 정리</x:v>
      </x:c>
      <x:c r="D35" s="283" t="str">
        <x:v>전원</x:v>
      </x:c>
      <x:c r="E35" s="279" t="n">
        <x:v>46265</x:v>
      </x:c>
      <x:c r="F35" s="279" t="n">
        <x:v>46269</x:v>
      </x:c>
      <x:c r="G35" s="285" t="n">
        <x:f>IF(OR(E35="",F35=""),"",F35-E35+1)</x:f>
        <x:v>5</x:v>
      </x:c>
      <x:c r="H35" s="281" t="n">
        <x:v>0</x:v>
      </x:c>
      <x:c r="I35" s="229" t="str">
        <x:f>IF(AND(I$7&gt;=$E35,I$7&lt;=$F35),1,"")</x:f>
      </x:c>
      <x:c r="J35" s="229" t="str">
        <x:f>IF(AND(J$7&gt;=$E35,J$7&lt;=$F35),1,"")</x:f>
      </x:c>
      <x:c r="K35" s="229" t="str">
        <x:f>IF(AND(K$7&gt;=$E35,K$7&lt;=$F35),1,"")</x:f>
      </x:c>
      <x:c r="L35" s="229" t="str">
        <x:f>IF(AND(L$7&gt;=$E35,L$7&lt;=$F35),1,"")</x:f>
      </x:c>
      <x:c r="M35" s="229" t="str">
        <x:f>IF(AND(M$7&gt;=$E35,M$7&lt;=$F35),1,"")</x:f>
      </x:c>
      <x:c r="N35" s="231" t="str">
        <x:f>IF(AND(N$7&gt;=$E35,N$7&lt;=$F35),1,"")</x:f>
      </x:c>
      <x:c r="O35" s="231" t="str">
        <x:f>IF(AND(O$7&gt;=$E35,O$7&lt;=$F35),1,"")</x:f>
      </x:c>
      <x:c r="P35" s="231" t="str">
        <x:f>IF(AND(P$7&gt;=$E35,P$7&lt;=$F35),1,"")</x:f>
      </x:c>
      <x:c r="Q35" s="231" t="str">
        <x:f>IF(AND(Q$7&gt;=$E35,Q$7&lt;=$F35),1,"")</x:f>
      </x:c>
      <x:c r="R35" s="231" t="str">
        <x:f>IF(AND(R$7&gt;=$E35,R$7&lt;=$F35),1,"")</x:f>
      </x:c>
      <x:c r="S35" s="229" t="str">
        <x:f>IF(AND(S$7&gt;=$E35,S$7&lt;=$F35),1,"")</x:f>
      </x:c>
      <x:c r="T35" s="229" t="str">
        <x:f>IF(AND(T$7&gt;=$E35,T$7&lt;=$F35),1,"")</x:f>
      </x:c>
      <x:c r="U35" s="229" t="str">
        <x:f>IF(AND(U$7&gt;=$E35,U$7&lt;=$F35),1,"")</x:f>
      </x:c>
      <x:c r="V35" s="229" t="str">
        <x:f>IF(AND(V$7&gt;=$E35,V$7&lt;=$F35),1,"")</x:f>
      </x:c>
      <x:c r="W35" s="229" t="str">
        <x:f>IF(AND(W$7&gt;=$E35,W$7&lt;=$F35),1,"")</x:f>
      </x:c>
      <x:c r="X35" s="233" t="str">
        <x:f>IF(AND(X$7&gt;=$E35,X$7&lt;=$F35),1,"")</x:f>
      </x:c>
      <x:c r="Y35" s="233" t="str">
        <x:f>IF(AND(Y$7&gt;=$E35,Y$7&lt;=$F35),1,"")</x:f>
      </x:c>
      <x:c r="Z35" s="233" t="str">
        <x:f>IF(AND(Z$7&gt;=$E35,Z$7&lt;=$F35),1,"")</x:f>
      </x:c>
      <x:c r="AA35" s="233" t="str">
        <x:f>IF(AND(AA$7&gt;=$E35,AA$7&lt;=$F35),1,"")</x:f>
      </x:c>
      <x:c r="AB35" s="233" t="str">
        <x:f>IF(AND(AB$7&gt;=$E35,AB$7&lt;=$F35),1,"")</x:f>
      </x:c>
      <x:c r="AC35" s="229" t="str">
        <x:f>IF(AND(AC$7&gt;=$E35,AC$7&lt;=$F35),1,"")</x:f>
      </x:c>
      <x:c r="AD35" s="229" t="str">
        <x:f>IF(AND(AD$7&gt;=$E35,AD$7&lt;=$F35),1,"")</x:f>
      </x:c>
      <x:c r="AE35" s="229" t="str">
        <x:f>IF(AND(AE$7&gt;=$E35,AE$7&lt;=$F35),1,"")</x:f>
      </x:c>
      <x:c r="AF35" s="229" t="str">
        <x:f>IF(AND(AF$7&gt;=$E35,AF$7&lt;=$F35),1,"")</x:f>
      </x:c>
      <x:c r="AG35" s="229" t="str">
        <x:f>IF(AND(AG$7&gt;=$E35,AG$7&lt;=$F35),1,"")</x:f>
      </x:c>
      <x:c r="AH35" s="236" t="str">
        <x:f>IF(AND(AH$7&gt;=$E35,AH$7&lt;=$F35),1,"")</x:f>
      </x:c>
      <x:c r="AI35" s="236" t="str">
        <x:f>IF(AND(AI$7&gt;=$E35,AI$7&lt;=$F35),1,"")</x:f>
      </x:c>
      <x:c r="AJ35" s="236" t="str">
        <x:f>IF(AND(AJ$7&gt;=$E35,AJ$7&lt;=$F35),1,"")</x:f>
      </x:c>
      <x:c r="AK35" s="236" t="str">
        <x:f>IF(AND(AK$7&gt;=$E35,AK$7&lt;=$F35),1,"")</x:f>
      </x:c>
      <x:c r="AL35" s="236" t="str">
        <x:f>IF(AND(AL$7&gt;=$E35,AL$7&lt;=$F35),1,"")</x:f>
      </x:c>
      <x:c r="AM35" s="229" t="str">
        <x:f>IF(AND(AM$7&gt;=$E35,AM$7&lt;=$F35),1,"")</x:f>
      </x:c>
      <x:c r="AN35" s="229" t="str">
        <x:f>IF(AND(AN$7&gt;=$E35,AN$7&lt;=$F35),1,"")</x:f>
      </x:c>
      <x:c r="AO35" s="229" t="str">
        <x:f>IF(AND(AO$7&gt;=$E35,AO$7&lt;=$F35),1,"")</x:f>
      </x:c>
      <x:c r="AP35" s="229" t="str">
        <x:f>IF(AND(AP$7&gt;=$E35,AP$7&lt;=$F35),1,"")</x:f>
      </x:c>
      <x:c r="AQ35" s="229" t="str">
        <x:f>IF(AND(AQ$7&gt;=$E35,AQ$7&lt;=$F35),1,"")</x:f>
      </x:c>
      <x:c r="AR35" s="238" t="n">
        <x:f>IF(AND(AR$7&gt;=$E35,AR$7&lt;=$F35),1,"")</x:f>
        <x:v>1</x:v>
      </x:c>
      <x:c r="AS35" s="238" t="n">
        <x:f>IF(AND(AS$7&gt;=$E35,AS$7&lt;=$F35),1,"")</x:f>
        <x:v>1</x:v>
      </x:c>
      <x:c r="AT35" s="238" t="n">
        <x:f>IF(AND(AT$7&gt;=$E35,AT$7&lt;=$F35),1,"")</x:f>
        <x:v>1</x:v>
      </x:c>
      <x:c r="AU35" s="238" t="n">
        <x:f>IF(AND(AU$7&gt;=$E35,AU$7&lt;=$F35),1,"")</x:f>
        <x:v>1</x:v>
      </x:c>
      <x:c r="AV35" s="238" t="n">
        <x:f>IF(AND(AV$7&gt;=$E35,AV$7&lt;=$F35),1,"")</x:f>
        <x:v>1</x:v>
      </x:c>
      <x:c r="AW35" s="244" t="str">
        <x:f>IF(AND(AW$7&gt;=$E35,AW$7&lt;=$F35),1,"")</x:f>
      </x:c>
      <x:c r="AX35" s="244" t="str">
        <x:f>IF(AND(AX$7&gt;=$E35,AX$7&lt;=$F35),1,"")</x:f>
      </x:c>
      <x:c r="AY35" s="244" t="str">
        <x:f>IF(AND(AY$7&gt;=$E35,AY$7&lt;=$F35),1,"")</x:f>
      </x:c>
      <x:c r="AZ35" s="244" t="str">
        <x:f>IF(AND(AZ$7&gt;=$E35,AZ$7&lt;=$F35),1,"")</x:f>
      </x:c>
      <x:c r="BA35" s="244" t="str">
        <x:f>IF(AND(BA$7&gt;=$E35,BA$7&lt;=$F35),1,"")</x:f>
      </x:c>
      <x:c r="BB35" s="244" t="str">
        <x:f>IF(AND(BB$7&gt;=$E35,BB$7&lt;=$F35),1,"")</x:f>
      </x:c>
      <x:c r="BC35" s="244" t="str">
        <x:f>IF(AND(BC$7&gt;=$E35,BC$7&lt;=$F35),1,"")</x:f>
      </x:c>
      <x:c r="BD35" s="244" t="str">
        <x:f>IF(AND(BD$7&gt;=$E35,BD$7&lt;=$F35),1,"")</x:f>
      </x:c>
      <x:c r="BE35" s="244" t="str">
        <x:f>IF(AND(BE$7&gt;=$E35,BE$7&lt;=$F35),1,"")</x:f>
      </x:c>
      <x:c r="BF35" s="244" t="str">
        <x:f>IF(AND(BF$7&gt;=$E35,BF$7&lt;=$F35),1,"")</x:f>
      </x:c>
      <x:c r="BG35" s="244" t="str">
        <x:f>IF(AND(BG$7&gt;=$E35,BG$7&lt;=$F35),1,"")</x:f>
      </x:c>
      <x:c r="BH35" s="244" t="str">
        <x:f>IF(AND(BH$7&gt;=$E35,BH$7&lt;=$F35),1,"")</x:f>
      </x:c>
      <x:c r="BI35" s="244" t="str">
        <x:f>IF(AND(BI$7&gt;=$E35,BI$7&lt;=$F35),1,"")</x:f>
      </x:c>
      <x:c r="BJ35" s="244" t="str">
        <x:f>IF(AND(BJ$7&gt;=$E35,BJ$7&lt;=$F35),1,"")</x:f>
      </x:c>
      <x:c r="BK35" s="244" t="str">
        <x:f>IF(AND(BK$7&gt;=$E35,BK$7&lt;=$F35),1,"")</x:f>
      </x:c>
      <x:c r="BL35" s="244" t="str">
        <x:f>IF(AND(BL$7&gt;=$E35,BL$7&lt;=$F35),1,"")</x:f>
      </x:c>
      <x:c r="BM35" s="244" t="str">
        <x:f>IF(AND(BM$7&gt;=$E35,BM$7&lt;=$F35),1,"")</x:f>
      </x:c>
      <x:c r="BN35" s="244" t="str">
        <x:f>IF(AND(BN$7&gt;=$E35,BN$7&lt;=$F35),1,"")</x:f>
      </x:c>
      <x:c r="BO35" s="244" t="str">
        <x:f>IF(AND(BO$7&gt;=$E35,BO$7&lt;=$F35),1,"")</x:f>
      </x:c>
      <x:c r="BP35" s="244" t="str">
        <x:f>IF(AND(BP$7&gt;=$E35,BP$7&lt;=$F35),1,"")</x:f>
      </x:c>
      <x:c r="BQ35" s="59"/>
    </x:row>
    <x:row r="36" ht="21" customHeight="1">
      <x:c r="A36" s="31"/>
      <x:c r="B36" s="31"/>
      <x:c r="C36" s="31"/>
      <x:c r="D36" s="31"/>
      <x:c r="E36" s="31"/>
      <x:c r="F36" s="31"/>
      <x:c r="G36" s="101"/>
      <x:c r="H36" s="10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  <x:c r="AA36" s="31"/>
      <x:c r="AB36" s="31"/>
      <x:c r="AC36" s="31"/>
      <x:c r="AD36" s="31"/>
      <x:c r="AE36" s="31"/>
      <x:c r="AF36" s="31"/>
      <x:c r="AG36" s="31"/>
      <x:c r="AH36" s="31"/>
      <x:c r="AI36" s="31"/>
      <x:c r="AJ36" s="31"/>
      <x:c r="AK36" s="31"/>
      <x:c r="AL36" s="31"/>
      <x:c r="AM36" s="31"/>
      <x:c r="AN36" s="31"/>
      <x:c r="AO36" s="31"/>
      <x:c r="AP36" s="31"/>
      <x:c r="AQ36" s="31"/>
      <x:c r="AR36" s="31"/>
      <x:c r="AS36" s="31"/>
      <x:c r="AT36" s="31"/>
      <x:c r="AU36" s="31"/>
      <x:c r="AV36" s="31"/>
      <x:c r="AW36" s="31"/>
      <x:c r="AX36" s="31"/>
      <x:c r="AY36" s="31"/>
      <x:c r="AZ36" s="31"/>
      <x:c r="BA36" s="31"/>
      <x:c r="BB36" s="31"/>
      <x:c r="BC36" s="31"/>
      <x:c r="BD36" s="31"/>
      <x:c r="BE36" s="31"/>
      <x:c r="BF36" s="31"/>
      <x:c r="BG36" s="31"/>
      <x:c r="BH36" s="31"/>
      <x:c r="BI36" s="31"/>
      <x:c r="BJ36" s="31"/>
      <x:c r="BK36" s="31"/>
      <x:c r="BL36" s="31"/>
      <x:c r="BM36" s="31"/>
      <x:c r="BN36" s="31"/>
      <x:c r="BO36" s="31"/>
      <x:c r="BP36" s="31"/>
      <x:c r="BQ36" s="31"/>
    </x:row>
    <x:row r="37" ht="21" customHeight="1">
      <x:c r="A37" s="31"/>
      <x:c r="B37" s="31"/>
      <x:c r="C37" s="31"/>
      <x:c r="D37" s="31"/>
      <x:c r="E37" s="31"/>
      <x:c r="F37" s="31"/>
      <x:c r="G37" s="101"/>
      <x:c r="H37" s="10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  <x:c r="AA37" s="31"/>
      <x:c r="AB37" s="31"/>
      <x:c r="AC37" s="31"/>
      <x:c r="AD37" s="31"/>
      <x:c r="AE37" s="31"/>
      <x:c r="AF37" s="31"/>
      <x:c r="AG37" s="31"/>
      <x:c r="AH37" s="31"/>
      <x:c r="AI37" s="31"/>
      <x:c r="AJ37" s="31"/>
      <x:c r="AK37" s="31"/>
      <x:c r="AL37" s="31"/>
      <x:c r="AM37" s="31"/>
      <x:c r="AN37" s="31"/>
      <x:c r="AO37" s="31"/>
      <x:c r="AP37" s="31"/>
      <x:c r="AQ37" s="31"/>
      <x:c r="AR37" s="31"/>
      <x:c r="AS37" s="31"/>
      <x:c r="AT37" s="31"/>
      <x:c r="AU37" s="31"/>
      <x:c r="AV37" s="31"/>
      <x:c r="AW37" s="31"/>
      <x:c r="AX37" s="31"/>
      <x:c r="AY37" s="31"/>
      <x:c r="AZ37" s="31"/>
      <x:c r="BA37" s="31"/>
      <x:c r="BB37" s="31"/>
      <x:c r="BC37" s="31"/>
      <x:c r="BD37" s="31"/>
      <x:c r="BE37" s="31"/>
      <x:c r="BF37" s="31"/>
      <x:c r="BG37" s="31"/>
      <x:c r="BH37" s="31"/>
      <x:c r="BI37" s="31"/>
      <x:c r="BJ37" s="31"/>
      <x:c r="BK37" s="31"/>
      <x:c r="BL37" s="31"/>
      <x:c r="BM37" s="31"/>
      <x:c r="BN37" s="31"/>
      <x:c r="BO37" s="31"/>
      <x:c r="BP37" s="31"/>
      <x:c r="BQ37" s="31"/>
    </x:row>
    <x:row r="38" ht="21" customHeight="1">
      <x:c r="A38" s="31"/>
      <x:c r="B38" s="31"/>
      <x:c r="C38" s="31"/>
      <x:c r="D38" s="31"/>
      <x:c r="E38" s="31"/>
      <x:c r="F38" s="31"/>
      <x:c r="G38" s="101"/>
      <x:c r="H38" s="10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  <x:c r="AA38" s="31"/>
      <x:c r="AB38" s="31"/>
      <x:c r="AC38" s="31"/>
      <x:c r="AD38" s="31"/>
      <x:c r="AE38" s="31"/>
      <x:c r="AF38" s="31"/>
      <x:c r="AG38" s="31"/>
      <x:c r="AH38" s="31"/>
      <x:c r="AI38" s="31"/>
      <x:c r="AJ38" s="31"/>
      <x:c r="AK38" s="31"/>
      <x:c r="AL38" s="31"/>
      <x:c r="AM38" s="31"/>
      <x:c r="AN38" s="31"/>
      <x:c r="AO38" s="31"/>
      <x:c r="AP38" s="31"/>
      <x:c r="AQ38" s="31"/>
      <x:c r="AR38" s="31"/>
      <x:c r="AS38" s="31"/>
      <x:c r="AT38" s="31"/>
      <x:c r="AU38" s="31"/>
      <x:c r="AV38" s="31"/>
      <x:c r="AW38" s="31"/>
      <x:c r="AX38" s="31"/>
      <x:c r="AY38" s="31"/>
      <x:c r="AZ38" s="31"/>
      <x:c r="BA38" s="31"/>
      <x:c r="BB38" s="31"/>
      <x:c r="BC38" s="31"/>
      <x:c r="BD38" s="31"/>
      <x:c r="BE38" s="31"/>
      <x:c r="BF38" s="31"/>
      <x:c r="BG38" s="31"/>
      <x:c r="BH38" s="31"/>
      <x:c r="BI38" s="31"/>
      <x:c r="BJ38" s="31"/>
      <x:c r="BK38" s="31"/>
      <x:c r="BL38" s="31"/>
      <x:c r="BM38" s="31"/>
      <x:c r="BN38" s="31"/>
      <x:c r="BO38" s="31"/>
      <x:c r="BP38" s="31"/>
      <x:c r="BQ38" s="31"/>
    </x:row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2:G2"/>
    <x:mergeCell ref="I2:N2"/>
    <x:mergeCell ref="O2:AG2"/>
    <x:mergeCell ref="B4:C4"/>
    <x:mergeCell ref="D4:G4"/>
    <x:mergeCell ref="I4:O4"/>
    <x:mergeCell ref="P4:AB4"/>
    <x:mergeCell ref="E8:E10"/>
    <x:mergeCell ref="F8:F10"/>
    <x:mergeCell ref="G8:G10"/>
    <x:mergeCell ref="H8:H10"/>
    <x:mergeCell ref="I9:M9"/>
    <x:mergeCell ref="N9:R9"/>
    <x:mergeCell ref="B5:C5"/>
    <x:mergeCell ref="D5:G5"/>
    <x:mergeCell ref="I5:O5"/>
    <x:mergeCell ref="P5:AA5"/>
    <x:mergeCell ref="B8:B10"/>
    <x:mergeCell ref="C8:C10"/>
    <x:mergeCell ref="D8:D10"/>
    <x:mergeCell ref="BB9:BF9"/>
    <x:mergeCell ref="BG9:BK9"/>
    <x:mergeCell ref="BL9:BP9"/>
    <x:mergeCell ref="S9:W9"/>
    <x:mergeCell ref="X9:AB9"/>
    <x:mergeCell ref="AC9:AG9"/>
    <x:mergeCell ref="AH9:AL9"/>
    <x:mergeCell ref="AM9:AQ9"/>
    <x:mergeCell ref="AR9:AV9"/>
    <x:mergeCell ref="AW9:BA9"/>
    <x:mergeCell ref="I8:R8"/>
    <x:mergeCell ref="S8:AB8"/>
    <x:mergeCell ref="AC8:AL8"/>
    <x:mergeCell ref="AM8:AV8"/>
    <x:mergeCell ref="AW8:BP8"/>
  </x:mergeCells>
  <x:conditionalFormatting sqref="H12:H18 H20:H35">
    <x:cfRule type="colorScale" priority="1">
      <x:colorScale>
        <x:cfvo type="min"/>
        <x:cfvo type="max"/>
        <x:color rgb="FFFFFFFF"/>
        <x:color rgb="FF57BB8A"/>
      </x:colorScale>
    </x:cfRule>
  </x:conditionalFormatting>
  <x:conditionalFormatting sqref="H12:H18 H20:H35">
    <x:cfRule type="colorScale" priority="2">
      <x:colorScale>
        <x:cfvo type="min"/>
        <x:cfvo type="max"/>
        <x:color rgb="FF57BB8A"/>
        <x:color rgb="FFFFFFFF"/>
      </x:colorScale>
    </x:cfRule>
  </x:conditionalFormatting>
  <x:conditionalFormatting sqref="H11:H35">
    <x:cfRule type="cellIs" dxfId="0" priority="3" operator="equal">
      <x:formula>0</x:formula>
    </x:cfRule>
    <x:cfRule type="cellIs" dxfId="1" priority="4" operator="between">
      <x:formula>0.01</x:formula>
      <x:formula>0.99</x:formula>
    </x:cfRule>
    <x:cfRule type="cellIs" dxfId="2" priority="5" operator="equal">
      <x:formula>1</x:formula>
    </x:cfRule>
  </x:conditionalFormatting>
  <x:conditionalFormatting sqref="I11:AV35">
    <x:cfRule type="cellIs" dxfId="3" priority="6" operator="equal">
      <x:formula>1</x:formula>
    </x:cfRule>
  </x:conditionalFormatting>
  <x:pageMargins left="0.7" right="0.7" top="0.75" bottom="0.75" header="0.3" footer="0.3"/>
</x:worksheet>
</file>